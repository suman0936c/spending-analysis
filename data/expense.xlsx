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HELPER" sheetId="2" state="visible" r:id="rId4"/>
    <sheet name="Dashboard" sheetId="3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<sst xmlns="http://schemas.openxmlformats.org/spreadsheetml/2006/main" count="623" uniqueCount="47">
  <si>
    <t xml:space="preserve">DATE</t>
  </si>
  <si>
    <t xml:space="preserve">DAY</t>
  </si>
  <si>
    <t xml:space="preserve">DAY_TYPE</t>
  </si>
  <si>
    <t xml:space="preserve">CATEGORY</t>
  </si>
  <si>
    <t xml:space="preserve">DESCRIPTION</t>
  </si>
  <si>
    <t xml:space="preserve">AMOUNT</t>
  </si>
  <si>
    <t xml:space="preserve">PAYMENT_MODE</t>
  </si>
  <si>
    <t xml:space="preserve">DAILY_EXPENSES</t>
  </si>
  <si>
    <t xml:space="preserve">Thursday</t>
  </si>
  <si>
    <t xml:space="preserve">weekday</t>
  </si>
  <si>
    <t xml:space="preserve">Food</t>
  </si>
  <si>
    <t xml:space="preserve">Lunch</t>
  </si>
  <si>
    <t xml:space="preserve">UPI</t>
  </si>
  <si>
    <t xml:space="preserve">Dinner</t>
  </si>
  <si>
    <t xml:space="preserve">Snacks</t>
  </si>
  <si>
    <t xml:space="preserve">Cash</t>
  </si>
  <si>
    <t xml:space="preserve">Travel</t>
  </si>
  <si>
    <t xml:space="preserve">Bus fare</t>
  </si>
  <si>
    <t xml:space="preserve">Friday</t>
  </si>
  <si>
    <t xml:space="preserve">Saturday</t>
  </si>
  <si>
    <t xml:space="preserve">weekend</t>
  </si>
  <si>
    <t xml:space="preserve">Auto fare</t>
  </si>
  <si>
    <t xml:space="preserve">Entertainment</t>
  </si>
  <si>
    <t xml:space="preserve">Movie ticket</t>
  </si>
  <si>
    <t xml:space="preserve">Sunday</t>
  </si>
  <si>
    <t xml:space="preserve">Cab ride</t>
  </si>
  <si>
    <t xml:space="preserve">Monday</t>
  </si>
  <si>
    <t xml:space="preserve">Academics</t>
  </si>
  <si>
    <t xml:space="preserve">Books purchase</t>
  </si>
  <si>
    <t xml:space="preserve">Tuesday</t>
  </si>
  <si>
    <t xml:space="preserve">Wednesday</t>
  </si>
  <si>
    <t xml:space="preserve">Metro recharge</t>
  </si>
  <si>
    <t xml:space="preserve">Shopping</t>
  </si>
  <si>
    <t xml:space="preserve">Clothes purchase</t>
  </si>
  <si>
    <t xml:space="preserve">Online course fee</t>
  </si>
  <si>
    <t xml:space="preserve">Movie night</t>
  </si>
  <si>
    <t xml:space="preserve">Others</t>
  </si>
  <si>
    <t xml:space="preserve">Mobile recharge</t>
  </si>
  <si>
    <t xml:space="preserve">Shoes purchase</t>
  </si>
  <si>
    <t xml:space="preserve">Daily Total</t>
  </si>
  <si>
    <t xml:space="preserve">Sum of AMOUNT</t>
  </si>
  <si>
    <t xml:space="preserve">Total Result</t>
  </si>
  <si>
    <t xml:space="preserve">EXPENSE ANALYSIS DASHBOARD</t>
  </si>
  <si>
    <t xml:space="preserve">Total Monthly Spend</t>
  </si>
  <si>
    <t xml:space="preserve">Average Daily Spend</t>
  </si>
  <si>
    <t xml:space="preserve">Highest Spending Day</t>
  </si>
  <si>
    <t xml:space="preserve">Top Spending Category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</si>
</sst>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_ [$₹-4009]\ * #,##0.00_ ;_ [$₹-4009]\ * \-#,##0.00_ ;_ [$₹-4009]\ * \-??_ ;_ @_ "/>
    <numFmt numFmtId="167" formatCode="[$₹-4009]\ #,##0.00"/>
    <numFmt numFmtId="168" formatCode="_(\₹* #,##0.00_);_(\₹* \(#,##0.00\);_(\₹* \-??_);_(@_)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u val="single"/>
      <sz val="24"/>
      <color rgb="FF000000"/>
      <name val="Calibri"/>
      <family val="0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0"/>
      <charset val="1"/>
    </font>
    <font>
      <sz val="14"/>
      <color rgb="FF000000"/>
      <name val="Calibri"/>
      <family val="0"/>
      <charset val="1"/>
    </font>
    <font>
      <sz val="11"/>
      <color rgb="FF242424"/>
      <name val="Aptos Narrow"/>
      <family val="0"/>
      <charset val="1"/>
    </font>
    <font>
      <sz val="14"/>
      <color theme="1"/>
      <name val="Calibri"/>
      <family val="2"/>
      <charset val="1"/>
    </font>
    <font>
      <b val="true"/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9"/>
      <color rgb="FF404040"/>
      <name val="Calibri"/>
      <family val="2"/>
    </font>
    <font>
      <b val="true"/>
      <sz val="9"/>
      <color rgb="FF595959"/>
      <name val="Calibri"/>
      <family val="2"/>
    </font>
    <font>
      <b val="true"/>
      <sz val="14"/>
      <color rgb="FF000000"/>
      <name val="Calibri"/>
      <family val="2"/>
    </font>
    <font>
      <b val="true"/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"/>
        <bgColor rgb="FFE2EFDA"/>
      </patternFill>
    </fill>
    <fill>
      <patternFill patternType="solid">
        <fgColor theme="4" tint="0.3999"/>
        <bgColor rgb="FF969696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double">
        <color theme="2"/>
      </left>
      <right style="double">
        <color theme="2"/>
      </right>
      <top/>
      <bottom style="double">
        <color theme="2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2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E2EFD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637CE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242424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595959"/>
                </a:solidFill>
                <a:latin typeface="Calibri"/>
              </a:rPr>
              <a:t>Category-wise Spending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HELPER!$H$2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rgbClr val="637ce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HELPER!$G$3:$G$9</c:f>
              <c:strCache>
                <c:ptCount val="7"/>
                <c:pt idx="0">
                  <c:v>Academics</c:v>
                </c:pt>
                <c:pt idx="1">
                  <c:v>Entertainment</c:v>
                </c:pt>
                <c:pt idx="2">
                  <c:v>Food</c:v>
                </c:pt>
                <c:pt idx="3">
                  <c:v>Others</c:v>
                </c:pt>
                <c:pt idx="4">
                  <c:v>Shopping</c:v>
                </c:pt>
                <c:pt idx="5">
                  <c:v>Travel</c:v>
                </c:pt>
                <c:pt idx="6">
                  <c:v>Total Result</c:v>
                </c:pt>
              </c:strCache>
            </c:strRef>
          </c:cat>
          <c:val>
            <c:numRef>
              <c:f>HELPER!$H$3:$H$9</c:f>
              <c:numCache>
                <c:formatCode>General</c:formatCode>
                <c:ptCount val="7"/>
                <c:pt idx="0">
                  <c:v>1449</c:v>
                </c:pt>
                <c:pt idx="1">
                  <c:v>550</c:v>
                </c:pt>
                <c:pt idx="2">
                  <c:v>6170</c:v>
                </c:pt>
                <c:pt idx="3">
                  <c:v>239</c:v>
                </c:pt>
                <c:pt idx="4">
                  <c:v>3000</c:v>
                </c:pt>
                <c:pt idx="5">
                  <c:v>3125</c:v>
                </c:pt>
                <c:pt idx="6">
                  <c:v>14533</c:v>
                </c:pt>
              </c:numCache>
            </c:numRef>
          </c:val>
        </c:ser>
        <c:gapWidth val="150"/>
        <c:overlap val="0"/>
        <c:axId val="18479515"/>
        <c:axId val="63696214"/>
      </c:barChart>
      <c:catAx>
        <c:axId val="184795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696214"/>
        <c:crosses val="autoZero"/>
        <c:auto val="1"/>
        <c:lblAlgn val="ctr"/>
        <c:lblOffset val="100"/>
        <c:noMultiLvlLbl val="0"/>
      </c:catAx>
      <c:valAx>
        <c:axId val="636962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₹* #,##0.00_);_(\₹* \(#,##0.00\);_(\₹* \-??_);_(@_)" sourceLinked="0"/>
        <c:majorTickMark val="none"/>
        <c:minorTickMark val="none"/>
        <c:tickLblPos val="low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8479515"/>
        <c:crosses val="autoZero"/>
        <c:crossBetween val="between"/>
        <c:majorUnit val="1000"/>
        <c:minorUnit val="100"/>
      </c:valAx>
      <c:spPr>
        <a:noFill/>
        <a:ln w="0">
          <a:noFill/>
        </a:ln>
      </c:spPr>
    </c:plotArea>
    <c:plotVisOnly val="1"/>
    <c:dispBlanksAs val="gap"/>
  </c:chart>
  <c:spPr>
    <a:solidFill>
      <a:srgbClr val="e2efda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595959"/>
                </a:solidFill>
                <a:latin typeface="Calibri"/>
              </a:rPr>
              <a:t>Weekday vs Weekend Spending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HELPER!$E$2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rgbClr val="637cef"/>
            </a:solidFill>
            <a:ln w="0">
              <a:noFill/>
            </a:ln>
          </c:spPr>
          <c:invertIfNegative val="0"/>
          <c:dLbls>
            <c:numFmt formatCode="_(\₹* #,##0.00_);_(\₹* \(#,##0.00\);_(\₹* \-??_);_(@_)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HELPER!$D$3:$D$5</c:f>
              <c:strCache>
                <c:ptCount val="3"/>
                <c:pt idx="0">
                  <c:v>weekday</c:v>
                </c:pt>
                <c:pt idx="1">
                  <c:v>weekend</c:v>
                </c:pt>
                <c:pt idx="2">
                  <c:v>Total Result</c:v>
                </c:pt>
              </c:strCache>
            </c:strRef>
          </c:cat>
          <c:val>
            <c:numRef>
              <c:f>HELPER!$E$3:$E$5</c:f>
              <c:numCache>
                <c:formatCode>General</c:formatCode>
                <c:ptCount val="3"/>
                <c:pt idx="0">
                  <c:v>9453</c:v>
                </c:pt>
                <c:pt idx="1">
                  <c:v>5080</c:v>
                </c:pt>
                <c:pt idx="2">
                  <c:v>14533</c:v>
                </c:pt>
              </c:numCache>
            </c:numRef>
          </c:val>
        </c:ser>
        <c:gapWidth val="182"/>
        <c:overlap val="0"/>
        <c:axId val="97413755"/>
        <c:axId val="93845735"/>
      </c:barChart>
      <c:catAx>
        <c:axId val="974137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1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845735"/>
        <c:crosses val="autoZero"/>
        <c:auto val="1"/>
        <c:lblAlgn val="ctr"/>
        <c:lblOffset val="100"/>
        <c:noMultiLvlLbl val="0"/>
      </c:catAx>
      <c:valAx>
        <c:axId val="9384573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₹* #,##0.00_);_(\₹* \(#,##0.00\);_(\₹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4137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e2efda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000000"/>
                </a:solidFill>
                <a:latin typeface="Calibri"/>
              </a:rPr>
              <a:t>Daily Expense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HELPER!$B$1</c:f>
              <c:strCache>
                <c:ptCount val="1"/>
                <c:pt idx="0">
                  <c:v>Daily Total</c:v>
                </c:pt>
              </c:strCache>
            </c:strRef>
          </c:tx>
          <c:spPr>
            <a:solidFill>
              <a:srgbClr val="637cef"/>
            </a:solidFill>
            <a:ln cap="rnd" w="28440">
              <a:solidFill>
                <a:srgbClr val="637ce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HELPER!$A$2:$A$31</c:f>
              <c:numCache>
                <c:formatCode>d/m</c:formatCode>
                <c:ptCount val="30"/>
                <c:pt idx="0">
                  <c:v>12/1/2025</c:v>
                </c:pt>
                <c:pt idx="1">
                  <c:v>12/2/2025</c:v>
                </c:pt>
                <c:pt idx="2">
                  <c:v>12/3/2025</c:v>
                </c:pt>
                <c:pt idx="3">
                  <c:v>12/4/2025</c:v>
                </c:pt>
                <c:pt idx="4">
                  <c:v>12/5/2025</c:v>
                </c:pt>
                <c:pt idx="5">
                  <c:v>12/6/2025</c:v>
                </c:pt>
                <c:pt idx="6">
                  <c:v>12/7/2025</c:v>
                </c:pt>
                <c:pt idx="7">
                  <c:v>12/8/2025</c:v>
                </c:pt>
                <c:pt idx="8">
                  <c:v>12/9/2025</c:v>
                </c:pt>
                <c:pt idx="9">
                  <c:v>12/10/2025</c:v>
                </c:pt>
                <c:pt idx="10">
                  <c:v>12/11/2025</c:v>
                </c:pt>
                <c:pt idx="11">
                  <c:v>12/12/2025</c:v>
                </c:pt>
                <c:pt idx="12">
                  <c:v>12/13/2025</c:v>
                </c:pt>
                <c:pt idx="13">
                  <c:v>12/14/2025</c:v>
                </c:pt>
                <c:pt idx="14">
                  <c:v>12/15/2025</c:v>
                </c:pt>
                <c:pt idx="15">
                  <c:v>12/16/2025</c:v>
                </c:pt>
                <c:pt idx="16">
                  <c:v>12/17/2025</c:v>
                </c:pt>
                <c:pt idx="17">
                  <c:v>12/18/2025</c:v>
                </c:pt>
                <c:pt idx="18">
                  <c:v>12/19/2025</c:v>
                </c:pt>
                <c:pt idx="19">
                  <c:v>12/20/2025</c:v>
                </c:pt>
                <c:pt idx="20">
                  <c:v>12/21/2025</c:v>
                </c:pt>
                <c:pt idx="21">
                  <c:v>12/22/2025</c:v>
                </c:pt>
                <c:pt idx="22">
                  <c:v>12/23/2025</c:v>
                </c:pt>
                <c:pt idx="23">
                  <c:v>12/24/2025</c:v>
                </c:pt>
                <c:pt idx="24">
                  <c:v>12/25/2025</c:v>
                </c:pt>
                <c:pt idx="25">
                  <c:v>12/26/2025</c:v>
                </c:pt>
                <c:pt idx="26">
                  <c:v>12/27/2025</c:v>
                </c:pt>
                <c:pt idx="27">
                  <c:v>12/28/2025</c:v>
                </c:pt>
                <c:pt idx="28">
                  <c:v>12/29/2025</c:v>
                </c:pt>
                <c:pt idx="29">
                  <c:v>12/30/2025</c:v>
                </c:pt>
              </c:numCache>
            </c:numRef>
          </c:cat>
          <c:val>
            <c:numRef>
              <c:f>HELPER!$B$2:$B$31</c:f>
              <c:numCache>
                <c:formatCode>_ [$₹-4009]\ * #,##0.00_ ;_ [$₹-4009]\ * \-#,##0.00_ ;_ [$₹-4009]\ * \-??_ ;_ @_ </c:formatCode>
                <c:ptCount val="30"/>
                <c:pt idx="0">
                  <c:v>255</c:v>
                </c:pt>
                <c:pt idx="1">
                  <c:v>250</c:v>
                </c:pt>
                <c:pt idx="2">
                  <c:v>530</c:v>
                </c:pt>
                <c:pt idx="3">
                  <c:v>395</c:v>
                </c:pt>
                <c:pt idx="4">
                  <c:v>680</c:v>
                </c:pt>
                <c:pt idx="5">
                  <c:v>245</c:v>
                </c:pt>
                <c:pt idx="6">
                  <c:v>520</c:v>
                </c:pt>
                <c:pt idx="7">
                  <c:v>275</c:v>
                </c:pt>
                <c:pt idx="8">
                  <c:v>1445</c:v>
                </c:pt>
                <c:pt idx="9">
                  <c:v>295</c:v>
                </c:pt>
                <c:pt idx="10">
                  <c:v>395</c:v>
                </c:pt>
                <c:pt idx="11">
                  <c:v>230</c:v>
                </c:pt>
                <c:pt idx="12">
                  <c:v>245</c:v>
                </c:pt>
                <c:pt idx="13">
                  <c:v>520</c:v>
                </c:pt>
                <c:pt idx="14">
                  <c:v>1274</c:v>
                </c:pt>
                <c:pt idx="15">
                  <c:v>245</c:v>
                </c:pt>
                <c:pt idx="16">
                  <c:v>595</c:v>
                </c:pt>
                <c:pt idx="17">
                  <c:v>395</c:v>
                </c:pt>
                <c:pt idx="18">
                  <c:v>230</c:v>
                </c:pt>
                <c:pt idx="19">
                  <c:v>484</c:v>
                </c:pt>
                <c:pt idx="20">
                  <c:v>520</c:v>
                </c:pt>
                <c:pt idx="21">
                  <c:v>275</c:v>
                </c:pt>
                <c:pt idx="22">
                  <c:v>245</c:v>
                </c:pt>
                <c:pt idx="23">
                  <c:v>2090</c:v>
                </c:pt>
                <c:pt idx="24">
                  <c:v>385</c:v>
                </c:pt>
                <c:pt idx="25">
                  <c:v>230</c:v>
                </c:pt>
                <c:pt idx="26">
                  <c:v>245</c:v>
                </c:pt>
                <c:pt idx="27">
                  <c:v>520</c:v>
                </c:pt>
                <c:pt idx="28">
                  <c:v>275</c:v>
                </c:pt>
                <c:pt idx="29">
                  <c:v>245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866098"/>
        <c:axId val="41310900"/>
      </c:lineChart>
      <c:dateAx>
        <c:axId val="62866098"/>
        <c:scaling>
          <c:orientation val="minMax"/>
        </c:scaling>
        <c:delete val="0"/>
        <c:axPos val="b"/>
        <c:numFmt formatCode="d/m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1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310900"/>
        <c:crosses val="autoZero"/>
        <c:auto val="1"/>
        <c:lblOffset val="100"/>
        <c:baseTimeUnit val="days"/>
        <c:majorUnit val="2"/>
        <c:majorTimeUnit val="days"/>
        <c:noMultiLvlLbl val="0"/>
      </c:dateAx>
      <c:valAx>
        <c:axId val="413109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 [$₹-4009]\ * #,##0.00_ ;_ [$₹-4009]\ * \-#,##0.00_ ;_ [$₹-4009]\ * \-??_ ;_ @_ 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1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66098"/>
        <c:crossesAt val="46023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e2efda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314280</xdr:colOff>
      <xdr:row>14</xdr:row>
      <xdr:rowOff>47520</xdr:rowOff>
    </xdr:from>
    <xdr:to>
      <xdr:col>4</xdr:col>
      <xdr:colOff>428400</xdr:colOff>
      <xdr:row>27</xdr:row>
      <xdr:rowOff>104400</xdr:rowOff>
    </xdr:to>
    <xdr:graphicFrame>
      <xdr:nvGraphicFramePr>
        <xdr:cNvPr id="0" name="Chart 1"/>
        <xdr:cNvGraphicFramePr/>
      </xdr:nvGraphicFramePr>
      <xdr:xfrm>
        <a:off x="314280" y="3143160"/>
        <a:ext cx="5133960" cy="240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495360</xdr:colOff>
      <xdr:row>14</xdr:row>
      <xdr:rowOff>28440</xdr:rowOff>
    </xdr:from>
    <xdr:to>
      <xdr:col>5</xdr:col>
      <xdr:colOff>1761840</xdr:colOff>
      <xdr:row>27</xdr:row>
      <xdr:rowOff>104400</xdr:rowOff>
    </xdr:to>
    <xdr:graphicFrame>
      <xdr:nvGraphicFramePr>
        <xdr:cNvPr id="1" name="Chart 2"/>
        <xdr:cNvGraphicFramePr/>
      </xdr:nvGraphicFramePr>
      <xdr:xfrm>
        <a:off x="5515200" y="3124080"/>
        <a:ext cx="7226280" cy="242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314280</xdr:colOff>
      <xdr:row>3</xdr:row>
      <xdr:rowOff>0</xdr:rowOff>
    </xdr:from>
    <xdr:to>
      <xdr:col>4</xdr:col>
      <xdr:colOff>5590800</xdr:colOff>
      <xdr:row>13</xdr:row>
      <xdr:rowOff>228240</xdr:rowOff>
    </xdr:to>
    <xdr:graphicFrame>
      <xdr:nvGraphicFramePr>
        <xdr:cNvPr id="2" name="Chart 3"/>
        <xdr:cNvGraphicFramePr/>
      </xdr:nvGraphicFramePr>
      <xdr:xfrm>
        <a:off x="314280" y="581040"/>
        <a:ext cx="10296360" cy="251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19" createdVersion="3">
  <cacheSource type="worksheet">
    <worksheetSource ref="A:H" sheet="data"/>
  </cacheSource>
  <cacheFields count="8">
    <cacheField name="DATE" numFmtId="0">
      <sharedItems containsNonDate="0" containsDate="1" containsString="0" containsBlank="1" minDate="2025-12-01T00:00:00" maxDate="2025-12-30T00:00:00" count="31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m/>
      </sharedItems>
    </cacheField>
    <cacheField name="DAY" numFmtId="0">
      <sharedItems containsBlank="1" count="8">
        <s v="Friday"/>
        <s v="Monday"/>
        <s v="Saturday"/>
        <s v="Sunday"/>
        <s v="Thursday"/>
        <s v="Tuesday"/>
        <s v="Wednesday"/>
        <m/>
      </sharedItems>
    </cacheField>
    <cacheField name="DAY_TYPE" numFmtId="0">
      <sharedItems containsBlank="1" count="3">
        <s v="weekday"/>
        <s v="weekend"/>
        <m/>
      </sharedItems>
    </cacheField>
    <cacheField name="CATEGORY" numFmtId="0">
      <sharedItems containsBlank="1" count="7">
        <s v="Academics"/>
        <s v="Entertainment"/>
        <s v="Food"/>
        <s v="Others"/>
        <s v="Shopping"/>
        <s v="Travel"/>
        <m/>
      </sharedItems>
    </cacheField>
    <cacheField name="DESCRIPTION" numFmtId="0">
      <sharedItems containsBlank="1" count="15">
        <s v="Auto fare"/>
        <s v="Books purchase"/>
        <s v="Bus fare"/>
        <s v="Cab ride"/>
        <s v="Clothes purchase"/>
        <s v="Dinner"/>
        <s v="Lunch"/>
        <s v="Metro recharge"/>
        <s v="Mobile recharge"/>
        <s v="Movie night"/>
        <s v="Movie ticket"/>
        <s v="Online course fee"/>
        <s v="Shoes purchase"/>
        <s v="Snacks"/>
        <m/>
      </sharedItems>
    </cacheField>
    <cacheField name="AMOUNT" numFmtId="0">
      <sharedItems containsString="0" containsBlank="1" containsNumber="1" containsInteger="1" minValue="30" maxValue="1800" count="20">
        <n v="30"/>
        <n v="35"/>
        <n v="40"/>
        <n v="45"/>
        <n v="75"/>
        <n v="80"/>
        <n v="85"/>
        <n v="90"/>
        <n v="95"/>
        <n v="100"/>
        <n v="200"/>
        <n v="210"/>
        <n v="239"/>
        <n v="250"/>
        <n v="300"/>
        <n v="450"/>
        <n v="999"/>
        <n v="1200"/>
        <n v="1800"/>
        <m/>
      </sharedItems>
    </cacheField>
    <cacheField name="PAYMENT_MODE" numFmtId="0">
      <sharedItems containsBlank="1" count="3">
        <s v="Cash"/>
        <s v="UPI"/>
        <m/>
      </sharedItems>
    </cacheField>
    <cacheField name="DAILY_EXPENSES" numFmtId="0">
      <sharedItems containsString="0" containsBlank="1" containsNumber="1" containsInteger="1" minValue="230" maxValue="2090" count="17">
        <n v="230"/>
        <n v="245"/>
        <n v="250"/>
        <n v="255"/>
        <n v="275"/>
        <n v="295"/>
        <n v="385"/>
        <n v="395"/>
        <n v="484"/>
        <n v="520"/>
        <n v="530"/>
        <n v="595"/>
        <n v="680"/>
        <n v="1274"/>
        <n v="1445"/>
        <n v="209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9">
  <r>
    <x v="0"/>
    <x v="4"/>
    <x v="0"/>
    <x v="2"/>
    <x v="6"/>
    <x v="6"/>
    <x v="1"/>
    <x v="3"/>
  </r>
  <r>
    <x v="0"/>
    <x v="4"/>
    <x v="0"/>
    <x v="2"/>
    <x v="5"/>
    <x v="7"/>
    <x v="1"/>
    <x v="3"/>
  </r>
  <r>
    <x v="0"/>
    <x v="4"/>
    <x v="0"/>
    <x v="2"/>
    <x v="13"/>
    <x v="2"/>
    <x v="0"/>
    <x v="3"/>
  </r>
  <r>
    <x v="0"/>
    <x v="4"/>
    <x v="0"/>
    <x v="5"/>
    <x v="2"/>
    <x v="2"/>
    <x v="0"/>
    <x v="3"/>
  </r>
  <r>
    <x v="1"/>
    <x v="0"/>
    <x v="0"/>
    <x v="2"/>
    <x v="6"/>
    <x v="5"/>
    <x v="1"/>
    <x v="2"/>
  </r>
  <r>
    <x v="1"/>
    <x v="0"/>
    <x v="0"/>
    <x v="2"/>
    <x v="5"/>
    <x v="8"/>
    <x v="1"/>
    <x v="2"/>
  </r>
  <r>
    <x v="1"/>
    <x v="0"/>
    <x v="0"/>
    <x v="2"/>
    <x v="13"/>
    <x v="1"/>
    <x v="0"/>
    <x v="2"/>
  </r>
  <r>
    <x v="1"/>
    <x v="0"/>
    <x v="0"/>
    <x v="5"/>
    <x v="2"/>
    <x v="2"/>
    <x v="0"/>
    <x v="2"/>
  </r>
  <r>
    <x v="2"/>
    <x v="2"/>
    <x v="1"/>
    <x v="2"/>
    <x v="6"/>
    <x v="7"/>
    <x v="1"/>
    <x v="10"/>
  </r>
  <r>
    <x v="2"/>
    <x v="2"/>
    <x v="1"/>
    <x v="2"/>
    <x v="5"/>
    <x v="9"/>
    <x v="1"/>
    <x v="10"/>
  </r>
  <r>
    <x v="2"/>
    <x v="2"/>
    <x v="1"/>
    <x v="5"/>
    <x v="0"/>
    <x v="7"/>
    <x v="0"/>
    <x v="10"/>
  </r>
  <r>
    <x v="2"/>
    <x v="2"/>
    <x v="1"/>
    <x v="1"/>
    <x v="10"/>
    <x v="13"/>
    <x v="1"/>
    <x v="10"/>
  </r>
  <r>
    <x v="3"/>
    <x v="3"/>
    <x v="1"/>
    <x v="2"/>
    <x v="6"/>
    <x v="8"/>
    <x v="1"/>
    <x v="7"/>
  </r>
  <r>
    <x v="3"/>
    <x v="3"/>
    <x v="1"/>
    <x v="2"/>
    <x v="5"/>
    <x v="9"/>
    <x v="1"/>
    <x v="7"/>
  </r>
  <r>
    <x v="3"/>
    <x v="3"/>
    <x v="1"/>
    <x v="5"/>
    <x v="3"/>
    <x v="10"/>
    <x v="1"/>
    <x v="7"/>
  </r>
  <r>
    <x v="4"/>
    <x v="1"/>
    <x v="0"/>
    <x v="2"/>
    <x v="6"/>
    <x v="4"/>
    <x v="1"/>
    <x v="12"/>
  </r>
  <r>
    <x v="4"/>
    <x v="1"/>
    <x v="0"/>
    <x v="2"/>
    <x v="5"/>
    <x v="6"/>
    <x v="1"/>
    <x v="12"/>
  </r>
  <r>
    <x v="4"/>
    <x v="1"/>
    <x v="0"/>
    <x v="2"/>
    <x v="13"/>
    <x v="0"/>
    <x v="0"/>
    <x v="12"/>
  </r>
  <r>
    <x v="4"/>
    <x v="1"/>
    <x v="0"/>
    <x v="5"/>
    <x v="2"/>
    <x v="2"/>
    <x v="0"/>
    <x v="12"/>
  </r>
  <r>
    <x v="4"/>
    <x v="1"/>
    <x v="0"/>
    <x v="0"/>
    <x v="1"/>
    <x v="15"/>
    <x v="1"/>
    <x v="12"/>
  </r>
  <r>
    <x v="5"/>
    <x v="5"/>
    <x v="0"/>
    <x v="2"/>
    <x v="6"/>
    <x v="5"/>
    <x v="1"/>
    <x v="1"/>
  </r>
  <r>
    <x v="5"/>
    <x v="5"/>
    <x v="0"/>
    <x v="2"/>
    <x v="5"/>
    <x v="7"/>
    <x v="1"/>
    <x v="1"/>
  </r>
  <r>
    <x v="5"/>
    <x v="5"/>
    <x v="0"/>
    <x v="2"/>
    <x v="13"/>
    <x v="1"/>
    <x v="0"/>
    <x v="1"/>
  </r>
  <r>
    <x v="5"/>
    <x v="5"/>
    <x v="0"/>
    <x v="5"/>
    <x v="2"/>
    <x v="2"/>
    <x v="0"/>
    <x v="1"/>
  </r>
  <r>
    <x v="6"/>
    <x v="6"/>
    <x v="0"/>
    <x v="2"/>
    <x v="6"/>
    <x v="6"/>
    <x v="1"/>
    <x v="9"/>
  </r>
  <r>
    <x v="6"/>
    <x v="6"/>
    <x v="0"/>
    <x v="2"/>
    <x v="5"/>
    <x v="8"/>
    <x v="1"/>
    <x v="9"/>
  </r>
  <r>
    <x v="6"/>
    <x v="6"/>
    <x v="0"/>
    <x v="2"/>
    <x v="13"/>
    <x v="2"/>
    <x v="0"/>
    <x v="9"/>
  </r>
  <r>
    <x v="6"/>
    <x v="6"/>
    <x v="0"/>
    <x v="5"/>
    <x v="7"/>
    <x v="14"/>
    <x v="1"/>
    <x v="9"/>
  </r>
  <r>
    <x v="7"/>
    <x v="4"/>
    <x v="0"/>
    <x v="2"/>
    <x v="6"/>
    <x v="7"/>
    <x v="1"/>
    <x v="4"/>
  </r>
  <r>
    <x v="7"/>
    <x v="4"/>
    <x v="0"/>
    <x v="2"/>
    <x v="5"/>
    <x v="9"/>
    <x v="1"/>
    <x v="4"/>
  </r>
  <r>
    <x v="7"/>
    <x v="4"/>
    <x v="0"/>
    <x v="2"/>
    <x v="13"/>
    <x v="3"/>
    <x v="0"/>
    <x v="4"/>
  </r>
  <r>
    <x v="7"/>
    <x v="4"/>
    <x v="0"/>
    <x v="5"/>
    <x v="2"/>
    <x v="2"/>
    <x v="0"/>
    <x v="4"/>
  </r>
  <r>
    <x v="8"/>
    <x v="0"/>
    <x v="0"/>
    <x v="2"/>
    <x v="6"/>
    <x v="5"/>
    <x v="1"/>
    <x v="14"/>
  </r>
  <r>
    <x v="8"/>
    <x v="0"/>
    <x v="0"/>
    <x v="2"/>
    <x v="5"/>
    <x v="7"/>
    <x v="1"/>
    <x v="14"/>
  </r>
  <r>
    <x v="8"/>
    <x v="0"/>
    <x v="0"/>
    <x v="2"/>
    <x v="13"/>
    <x v="1"/>
    <x v="0"/>
    <x v="14"/>
  </r>
  <r>
    <x v="8"/>
    <x v="0"/>
    <x v="0"/>
    <x v="5"/>
    <x v="2"/>
    <x v="2"/>
    <x v="0"/>
    <x v="14"/>
  </r>
  <r>
    <x v="8"/>
    <x v="0"/>
    <x v="0"/>
    <x v="4"/>
    <x v="4"/>
    <x v="17"/>
    <x v="1"/>
    <x v="14"/>
  </r>
  <r>
    <x v="9"/>
    <x v="2"/>
    <x v="1"/>
    <x v="2"/>
    <x v="6"/>
    <x v="8"/>
    <x v="1"/>
    <x v="5"/>
  </r>
  <r>
    <x v="9"/>
    <x v="2"/>
    <x v="1"/>
    <x v="2"/>
    <x v="5"/>
    <x v="9"/>
    <x v="1"/>
    <x v="5"/>
  </r>
  <r>
    <x v="9"/>
    <x v="2"/>
    <x v="1"/>
    <x v="5"/>
    <x v="0"/>
    <x v="9"/>
    <x v="0"/>
    <x v="5"/>
  </r>
  <r>
    <x v="10"/>
    <x v="3"/>
    <x v="1"/>
    <x v="2"/>
    <x v="6"/>
    <x v="7"/>
    <x v="1"/>
    <x v="7"/>
  </r>
  <r>
    <x v="10"/>
    <x v="3"/>
    <x v="1"/>
    <x v="2"/>
    <x v="5"/>
    <x v="8"/>
    <x v="1"/>
    <x v="7"/>
  </r>
  <r>
    <x v="10"/>
    <x v="3"/>
    <x v="1"/>
    <x v="5"/>
    <x v="3"/>
    <x v="11"/>
    <x v="1"/>
    <x v="7"/>
  </r>
  <r>
    <x v="11"/>
    <x v="1"/>
    <x v="0"/>
    <x v="2"/>
    <x v="6"/>
    <x v="4"/>
    <x v="1"/>
    <x v="0"/>
  </r>
  <r>
    <x v="11"/>
    <x v="1"/>
    <x v="0"/>
    <x v="2"/>
    <x v="5"/>
    <x v="6"/>
    <x v="1"/>
    <x v="0"/>
  </r>
  <r>
    <x v="11"/>
    <x v="1"/>
    <x v="0"/>
    <x v="2"/>
    <x v="13"/>
    <x v="0"/>
    <x v="0"/>
    <x v="0"/>
  </r>
  <r>
    <x v="11"/>
    <x v="1"/>
    <x v="0"/>
    <x v="5"/>
    <x v="2"/>
    <x v="2"/>
    <x v="0"/>
    <x v="0"/>
  </r>
  <r>
    <x v="12"/>
    <x v="5"/>
    <x v="0"/>
    <x v="2"/>
    <x v="6"/>
    <x v="5"/>
    <x v="1"/>
    <x v="1"/>
  </r>
  <r>
    <x v="12"/>
    <x v="5"/>
    <x v="0"/>
    <x v="2"/>
    <x v="5"/>
    <x v="7"/>
    <x v="1"/>
    <x v="1"/>
  </r>
  <r>
    <x v="12"/>
    <x v="5"/>
    <x v="0"/>
    <x v="2"/>
    <x v="13"/>
    <x v="1"/>
    <x v="0"/>
    <x v="1"/>
  </r>
  <r>
    <x v="12"/>
    <x v="5"/>
    <x v="0"/>
    <x v="5"/>
    <x v="2"/>
    <x v="2"/>
    <x v="0"/>
    <x v="1"/>
  </r>
  <r>
    <x v="13"/>
    <x v="6"/>
    <x v="0"/>
    <x v="2"/>
    <x v="6"/>
    <x v="6"/>
    <x v="1"/>
    <x v="9"/>
  </r>
  <r>
    <x v="13"/>
    <x v="6"/>
    <x v="0"/>
    <x v="2"/>
    <x v="5"/>
    <x v="8"/>
    <x v="1"/>
    <x v="9"/>
  </r>
  <r>
    <x v="13"/>
    <x v="6"/>
    <x v="0"/>
    <x v="2"/>
    <x v="13"/>
    <x v="2"/>
    <x v="0"/>
    <x v="9"/>
  </r>
  <r>
    <x v="13"/>
    <x v="6"/>
    <x v="0"/>
    <x v="5"/>
    <x v="7"/>
    <x v="14"/>
    <x v="1"/>
    <x v="9"/>
  </r>
  <r>
    <x v="14"/>
    <x v="4"/>
    <x v="0"/>
    <x v="2"/>
    <x v="6"/>
    <x v="7"/>
    <x v="1"/>
    <x v="13"/>
  </r>
  <r>
    <x v="14"/>
    <x v="4"/>
    <x v="0"/>
    <x v="2"/>
    <x v="5"/>
    <x v="9"/>
    <x v="1"/>
    <x v="13"/>
  </r>
  <r>
    <x v="14"/>
    <x v="4"/>
    <x v="0"/>
    <x v="2"/>
    <x v="13"/>
    <x v="3"/>
    <x v="0"/>
    <x v="13"/>
  </r>
  <r>
    <x v="14"/>
    <x v="4"/>
    <x v="0"/>
    <x v="5"/>
    <x v="2"/>
    <x v="2"/>
    <x v="0"/>
    <x v="13"/>
  </r>
  <r>
    <x v="14"/>
    <x v="4"/>
    <x v="0"/>
    <x v="0"/>
    <x v="11"/>
    <x v="16"/>
    <x v="1"/>
    <x v="13"/>
  </r>
  <r>
    <x v="15"/>
    <x v="0"/>
    <x v="0"/>
    <x v="2"/>
    <x v="6"/>
    <x v="5"/>
    <x v="1"/>
    <x v="1"/>
  </r>
  <r>
    <x v="15"/>
    <x v="0"/>
    <x v="0"/>
    <x v="2"/>
    <x v="5"/>
    <x v="7"/>
    <x v="1"/>
    <x v="1"/>
  </r>
  <r>
    <x v="15"/>
    <x v="0"/>
    <x v="0"/>
    <x v="2"/>
    <x v="13"/>
    <x v="1"/>
    <x v="0"/>
    <x v="1"/>
  </r>
  <r>
    <x v="15"/>
    <x v="0"/>
    <x v="0"/>
    <x v="5"/>
    <x v="2"/>
    <x v="2"/>
    <x v="0"/>
    <x v="1"/>
  </r>
  <r>
    <x v="16"/>
    <x v="2"/>
    <x v="1"/>
    <x v="2"/>
    <x v="6"/>
    <x v="8"/>
    <x v="1"/>
    <x v="11"/>
  </r>
  <r>
    <x v="16"/>
    <x v="2"/>
    <x v="1"/>
    <x v="2"/>
    <x v="5"/>
    <x v="9"/>
    <x v="1"/>
    <x v="11"/>
  </r>
  <r>
    <x v="16"/>
    <x v="2"/>
    <x v="1"/>
    <x v="5"/>
    <x v="0"/>
    <x v="9"/>
    <x v="0"/>
    <x v="11"/>
  </r>
  <r>
    <x v="16"/>
    <x v="2"/>
    <x v="1"/>
    <x v="1"/>
    <x v="9"/>
    <x v="14"/>
    <x v="1"/>
    <x v="11"/>
  </r>
  <r>
    <x v="17"/>
    <x v="3"/>
    <x v="1"/>
    <x v="2"/>
    <x v="6"/>
    <x v="7"/>
    <x v="1"/>
    <x v="7"/>
  </r>
  <r>
    <x v="17"/>
    <x v="3"/>
    <x v="1"/>
    <x v="2"/>
    <x v="5"/>
    <x v="8"/>
    <x v="1"/>
    <x v="7"/>
  </r>
  <r>
    <x v="17"/>
    <x v="3"/>
    <x v="1"/>
    <x v="5"/>
    <x v="3"/>
    <x v="11"/>
    <x v="1"/>
    <x v="7"/>
  </r>
  <r>
    <x v="18"/>
    <x v="1"/>
    <x v="0"/>
    <x v="2"/>
    <x v="6"/>
    <x v="4"/>
    <x v="1"/>
    <x v="0"/>
  </r>
  <r>
    <x v="18"/>
    <x v="1"/>
    <x v="0"/>
    <x v="2"/>
    <x v="5"/>
    <x v="6"/>
    <x v="1"/>
    <x v="0"/>
  </r>
  <r>
    <x v="18"/>
    <x v="1"/>
    <x v="0"/>
    <x v="2"/>
    <x v="13"/>
    <x v="0"/>
    <x v="0"/>
    <x v="0"/>
  </r>
  <r>
    <x v="18"/>
    <x v="1"/>
    <x v="0"/>
    <x v="5"/>
    <x v="2"/>
    <x v="2"/>
    <x v="0"/>
    <x v="0"/>
  </r>
  <r>
    <x v="19"/>
    <x v="5"/>
    <x v="0"/>
    <x v="2"/>
    <x v="6"/>
    <x v="5"/>
    <x v="1"/>
    <x v="8"/>
  </r>
  <r>
    <x v="19"/>
    <x v="5"/>
    <x v="0"/>
    <x v="2"/>
    <x v="5"/>
    <x v="7"/>
    <x v="1"/>
    <x v="8"/>
  </r>
  <r>
    <x v="19"/>
    <x v="5"/>
    <x v="0"/>
    <x v="2"/>
    <x v="13"/>
    <x v="1"/>
    <x v="0"/>
    <x v="8"/>
  </r>
  <r>
    <x v="19"/>
    <x v="5"/>
    <x v="0"/>
    <x v="5"/>
    <x v="2"/>
    <x v="2"/>
    <x v="0"/>
    <x v="8"/>
  </r>
  <r>
    <x v="19"/>
    <x v="5"/>
    <x v="0"/>
    <x v="3"/>
    <x v="8"/>
    <x v="12"/>
    <x v="1"/>
    <x v="8"/>
  </r>
  <r>
    <x v="20"/>
    <x v="6"/>
    <x v="0"/>
    <x v="2"/>
    <x v="6"/>
    <x v="6"/>
    <x v="1"/>
    <x v="9"/>
  </r>
  <r>
    <x v="20"/>
    <x v="6"/>
    <x v="0"/>
    <x v="2"/>
    <x v="5"/>
    <x v="8"/>
    <x v="1"/>
    <x v="9"/>
  </r>
  <r>
    <x v="20"/>
    <x v="6"/>
    <x v="0"/>
    <x v="2"/>
    <x v="13"/>
    <x v="2"/>
    <x v="0"/>
    <x v="9"/>
  </r>
  <r>
    <x v="20"/>
    <x v="6"/>
    <x v="0"/>
    <x v="5"/>
    <x v="7"/>
    <x v="14"/>
    <x v="1"/>
    <x v="9"/>
  </r>
  <r>
    <x v="21"/>
    <x v="4"/>
    <x v="0"/>
    <x v="2"/>
    <x v="6"/>
    <x v="7"/>
    <x v="1"/>
    <x v="4"/>
  </r>
  <r>
    <x v="21"/>
    <x v="4"/>
    <x v="0"/>
    <x v="2"/>
    <x v="5"/>
    <x v="9"/>
    <x v="1"/>
    <x v="4"/>
  </r>
  <r>
    <x v="21"/>
    <x v="4"/>
    <x v="0"/>
    <x v="2"/>
    <x v="13"/>
    <x v="3"/>
    <x v="0"/>
    <x v="4"/>
  </r>
  <r>
    <x v="21"/>
    <x v="4"/>
    <x v="0"/>
    <x v="5"/>
    <x v="2"/>
    <x v="2"/>
    <x v="0"/>
    <x v="4"/>
  </r>
  <r>
    <x v="22"/>
    <x v="0"/>
    <x v="0"/>
    <x v="2"/>
    <x v="6"/>
    <x v="5"/>
    <x v="1"/>
    <x v="1"/>
  </r>
  <r>
    <x v="22"/>
    <x v="0"/>
    <x v="0"/>
    <x v="2"/>
    <x v="5"/>
    <x v="7"/>
    <x v="1"/>
    <x v="1"/>
  </r>
  <r>
    <x v="22"/>
    <x v="0"/>
    <x v="0"/>
    <x v="2"/>
    <x v="13"/>
    <x v="1"/>
    <x v="0"/>
    <x v="1"/>
  </r>
  <r>
    <x v="22"/>
    <x v="0"/>
    <x v="0"/>
    <x v="5"/>
    <x v="2"/>
    <x v="2"/>
    <x v="0"/>
    <x v="1"/>
  </r>
  <r>
    <x v="23"/>
    <x v="2"/>
    <x v="1"/>
    <x v="2"/>
    <x v="6"/>
    <x v="8"/>
    <x v="1"/>
    <x v="15"/>
  </r>
  <r>
    <x v="23"/>
    <x v="2"/>
    <x v="1"/>
    <x v="2"/>
    <x v="5"/>
    <x v="9"/>
    <x v="1"/>
    <x v="15"/>
  </r>
  <r>
    <x v="23"/>
    <x v="2"/>
    <x v="1"/>
    <x v="5"/>
    <x v="0"/>
    <x v="8"/>
    <x v="0"/>
    <x v="15"/>
  </r>
  <r>
    <x v="23"/>
    <x v="2"/>
    <x v="1"/>
    <x v="4"/>
    <x v="12"/>
    <x v="18"/>
    <x v="1"/>
    <x v="15"/>
  </r>
  <r>
    <x v="24"/>
    <x v="3"/>
    <x v="1"/>
    <x v="2"/>
    <x v="6"/>
    <x v="7"/>
    <x v="1"/>
    <x v="6"/>
  </r>
  <r>
    <x v="24"/>
    <x v="3"/>
    <x v="1"/>
    <x v="2"/>
    <x v="5"/>
    <x v="8"/>
    <x v="1"/>
    <x v="6"/>
  </r>
  <r>
    <x v="24"/>
    <x v="3"/>
    <x v="1"/>
    <x v="5"/>
    <x v="3"/>
    <x v="10"/>
    <x v="1"/>
    <x v="6"/>
  </r>
  <r>
    <x v="25"/>
    <x v="1"/>
    <x v="0"/>
    <x v="2"/>
    <x v="6"/>
    <x v="4"/>
    <x v="1"/>
    <x v="9"/>
  </r>
  <r>
    <x v="25"/>
    <x v="1"/>
    <x v="0"/>
    <x v="2"/>
    <x v="5"/>
    <x v="6"/>
    <x v="1"/>
    <x v="0"/>
  </r>
  <r>
    <x v="25"/>
    <x v="1"/>
    <x v="0"/>
    <x v="2"/>
    <x v="13"/>
    <x v="0"/>
    <x v="0"/>
    <x v="0"/>
  </r>
  <r>
    <x v="25"/>
    <x v="1"/>
    <x v="0"/>
    <x v="5"/>
    <x v="2"/>
    <x v="2"/>
    <x v="0"/>
    <x v="0"/>
  </r>
  <r>
    <x v="26"/>
    <x v="5"/>
    <x v="0"/>
    <x v="2"/>
    <x v="6"/>
    <x v="5"/>
    <x v="1"/>
    <x v="1"/>
  </r>
  <r>
    <x v="26"/>
    <x v="5"/>
    <x v="0"/>
    <x v="2"/>
    <x v="5"/>
    <x v="7"/>
    <x v="1"/>
    <x v="1"/>
  </r>
  <r>
    <x v="26"/>
    <x v="5"/>
    <x v="0"/>
    <x v="2"/>
    <x v="13"/>
    <x v="1"/>
    <x v="0"/>
    <x v="1"/>
  </r>
  <r>
    <x v="26"/>
    <x v="5"/>
    <x v="0"/>
    <x v="5"/>
    <x v="2"/>
    <x v="2"/>
    <x v="0"/>
    <x v="1"/>
  </r>
  <r>
    <x v="27"/>
    <x v="6"/>
    <x v="0"/>
    <x v="2"/>
    <x v="6"/>
    <x v="6"/>
    <x v="1"/>
    <x v="9"/>
  </r>
  <r>
    <x v="27"/>
    <x v="6"/>
    <x v="0"/>
    <x v="2"/>
    <x v="5"/>
    <x v="8"/>
    <x v="1"/>
    <x v="9"/>
  </r>
  <r>
    <x v="27"/>
    <x v="6"/>
    <x v="0"/>
    <x v="2"/>
    <x v="13"/>
    <x v="2"/>
    <x v="0"/>
    <x v="9"/>
  </r>
  <r>
    <x v="27"/>
    <x v="6"/>
    <x v="0"/>
    <x v="5"/>
    <x v="7"/>
    <x v="14"/>
    <x v="1"/>
    <x v="9"/>
  </r>
  <r>
    <x v="28"/>
    <x v="4"/>
    <x v="0"/>
    <x v="2"/>
    <x v="6"/>
    <x v="7"/>
    <x v="1"/>
    <x v="4"/>
  </r>
  <r>
    <x v="28"/>
    <x v="4"/>
    <x v="0"/>
    <x v="2"/>
    <x v="5"/>
    <x v="9"/>
    <x v="1"/>
    <x v="4"/>
  </r>
  <r>
    <x v="28"/>
    <x v="4"/>
    <x v="0"/>
    <x v="2"/>
    <x v="13"/>
    <x v="3"/>
    <x v="0"/>
    <x v="4"/>
  </r>
  <r>
    <x v="28"/>
    <x v="4"/>
    <x v="0"/>
    <x v="5"/>
    <x v="2"/>
    <x v="2"/>
    <x v="0"/>
    <x v="4"/>
  </r>
  <r>
    <x v="29"/>
    <x v="0"/>
    <x v="0"/>
    <x v="2"/>
    <x v="6"/>
    <x v="5"/>
    <x v="1"/>
    <x v="1"/>
  </r>
  <r>
    <x v="29"/>
    <x v="0"/>
    <x v="0"/>
    <x v="2"/>
    <x v="5"/>
    <x v="7"/>
    <x v="1"/>
    <x v="1"/>
  </r>
  <r>
    <x v="29"/>
    <x v="0"/>
    <x v="0"/>
    <x v="2"/>
    <x v="13"/>
    <x v="1"/>
    <x v="0"/>
    <x v="1"/>
  </r>
  <r>
    <x v="29"/>
    <x v="0"/>
    <x v="0"/>
    <x v="5"/>
    <x v="2"/>
    <x v="2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G2:H9" firstHeaderRow="1" firstDataRow="1" firstDataCol="1"/>
  <pivotFields count="8">
    <pivotField compact="0" showAll="0" outline="0"/>
    <pivotField compact="0" showAll="0" outline="0"/>
    <pivotField compact="0" showAll="0" outline="0"/>
    <pivotField axis="axisRow" compact="0" showAll="0" outline="0">
      <items count="8">
        <item x="0"/>
        <item x="1"/>
        <item x="2"/>
        <item x="3"/>
        <item x="4"/>
        <item x="5"/>
        <item h="1" x="6"/>
        <item t="default"/>
      </items>
    </pivotField>
    <pivotField compact="0" showAll="0" outline="0"/>
    <pivotField dataField="1" compact="0" showAll="0" outline="0"/>
    <pivotField compact="0" showAll="0" outline="0"/>
    <pivotField compact="0" showAll="0" outline="0"/>
  </pivotFields>
  <rowFields count="1">
    <field x="3"/>
  </rowFields>
  <dataFields count="1">
    <dataField name="Sum of AMOUNT" fld="5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D2:E5" firstHeaderRow="1" firstDataRow="1" firstDataCol="1"/>
  <pivotFields count="8">
    <pivotField compact="0" showAll="0" outline="0"/>
    <pivotField compact="0" showAll="0" outline="0"/>
    <pivotField axis="axisRow" compact="0" showAll="0" outline="0">
      <items count="4">
        <item x="0"/>
        <item x="1"/>
        <item h="1" x="2"/>
        <item t="default"/>
      </items>
    </pivotField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</pivotFields>
  <rowFields count="1">
    <field x="2"/>
  </rowFields>
  <dataFields count="1">
    <dataField name="Sum of AMOUNT" fld="5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0.33"/>
    <col collapsed="false" customWidth="true" hidden="false" outlineLevel="0" max="4" min="4" style="0" width="15.88"/>
    <col collapsed="false" customWidth="true" hidden="false" outlineLevel="0" max="5" min="5" style="0" width="15"/>
    <col collapsed="false" customWidth="true" hidden="false" outlineLevel="0" max="6" min="6" style="0" width="10.88"/>
    <col collapsed="false" customWidth="true" hidden="false" outlineLevel="0" max="7" min="7" style="0" width="8"/>
    <col collapsed="false" customWidth="true" hidden="false" outlineLevel="0" max="8" min="8" style="0" width="15.66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false" outlineLevel="0" collapsed="false">
      <c r="A2" s="1" t="n">
        <v>45992</v>
      </c>
      <c r="B2" s="2" t="s">
        <v>8</v>
      </c>
      <c r="C2" s="2" t="s">
        <v>9</v>
      </c>
      <c r="D2" s="2" t="s">
        <v>10</v>
      </c>
      <c r="E2" s="2" t="s">
        <v>11</v>
      </c>
      <c r="F2" s="0" t="n">
        <v>85</v>
      </c>
      <c r="G2" s="2" t="s">
        <v>12</v>
      </c>
      <c r="H2" s="2" t="n">
        <f aca="false">SUMIF(data!A:A, A2, data!F:F)</f>
        <v>255</v>
      </c>
    </row>
    <row r="3" customFormat="false" ht="14.25" hidden="false" customHeight="false" outlineLevel="0" collapsed="false">
      <c r="A3" s="1" t="n">
        <v>45992</v>
      </c>
      <c r="B3" s="2" t="s">
        <v>8</v>
      </c>
      <c r="C3" s="2" t="s">
        <v>9</v>
      </c>
      <c r="D3" s="2" t="s">
        <v>10</v>
      </c>
      <c r="E3" s="2" t="s">
        <v>13</v>
      </c>
      <c r="F3" s="0" t="n">
        <v>90</v>
      </c>
      <c r="G3" s="2" t="s">
        <v>12</v>
      </c>
      <c r="H3" s="2" t="n">
        <f aca="false">SUMIF(data!A:A, A3, data!F:F)</f>
        <v>255</v>
      </c>
    </row>
    <row r="4" customFormat="false" ht="14.25" hidden="false" customHeight="false" outlineLevel="0" collapsed="false">
      <c r="A4" s="1" t="n">
        <v>45992</v>
      </c>
      <c r="B4" s="2" t="s">
        <v>8</v>
      </c>
      <c r="C4" s="2" t="s">
        <v>9</v>
      </c>
      <c r="D4" s="2" t="s">
        <v>10</v>
      </c>
      <c r="E4" s="2" t="s">
        <v>14</v>
      </c>
      <c r="F4" s="0" t="n">
        <v>40</v>
      </c>
      <c r="G4" s="2" t="s">
        <v>15</v>
      </c>
      <c r="H4" s="2" t="n">
        <f aca="false">SUMIF(data!A:A, A4, data!F:F)</f>
        <v>255</v>
      </c>
    </row>
    <row r="5" customFormat="false" ht="14.25" hidden="false" customHeight="false" outlineLevel="0" collapsed="false">
      <c r="A5" s="1" t="n">
        <v>45992</v>
      </c>
      <c r="B5" s="2" t="s">
        <v>8</v>
      </c>
      <c r="C5" s="2" t="s">
        <v>9</v>
      </c>
      <c r="D5" s="2" t="s">
        <v>16</v>
      </c>
      <c r="E5" s="2" t="s">
        <v>17</v>
      </c>
      <c r="F5" s="0" t="n">
        <v>40</v>
      </c>
      <c r="G5" s="2" t="s">
        <v>15</v>
      </c>
      <c r="H5" s="2" t="n">
        <f aca="false">SUMIF(data!A:A, A5, data!F:F)</f>
        <v>255</v>
      </c>
    </row>
    <row r="6" customFormat="false" ht="14.25" hidden="false" customHeight="false" outlineLevel="0" collapsed="false">
      <c r="A6" s="1" t="n">
        <v>45993</v>
      </c>
      <c r="B6" s="2" t="s">
        <v>18</v>
      </c>
      <c r="C6" s="2" t="s">
        <v>9</v>
      </c>
      <c r="D6" s="2" t="s">
        <v>10</v>
      </c>
      <c r="E6" s="2" t="s">
        <v>11</v>
      </c>
      <c r="F6" s="0" t="n">
        <v>80</v>
      </c>
      <c r="G6" s="2" t="s">
        <v>12</v>
      </c>
      <c r="H6" s="2" t="n">
        <f aca="false">SUMIF(data!A:A, A6, data!F:F)</f>
        <v>250</v>
      </c>
    </row>
    <row r="7" customFormat="false" ht="14.25" hidden="false" customHeight="false" outlineLevel="0" collapsed="false">
      <c r="A7" s="1" t="n">
        <v>45993</v>
      </c>
      <c r="B7" s="2" t="s">
        <v>18</v>
      </c>
      <c r="C7" s="2" t="s">
        <v>9</v>
      </c>
      <c r="D7" s="2" t="s">
        <v>10</v>
      </c>
      <c r="E7" s="2" t="s">
        <v>13</v>
      </c>
      <c r="F7" s="0" t="n">
        <v>95</v>
      </c>
      <c r="G7" s="2" t="s">
        <v>12</v>
      </c>
      <c r="H7" s="2" t="n">
        <f aca="false">SUMIF(data!A:A, A7, data!F:F)</f>
        <v>250</v>
      </c>
    </row>
    <row r="8" customFormat="false" ht="14.25" hidden="false" customHeight="false" outlineLevel="0" collapsed="false">
      <c r="A8" s="1" t="n">
        <v>45993</v>
      </c>
      <c r="B8" s="2" t="s">
        <v>18</v>
      </c>
      <c r="C8" s="2" t="s">
        <v>9</v>
      </c>
      <c r="D8" s="2" t="s">
        <v>10</v>
      </c>
      <c r="E8" s="2" t="s">
        <v>14</v>
      </c>
      <c r="F8" s="0" t="n">
        <v>35</v>
      </c>
      <c r="G8" s="2" t="s">
        <v>15</v>
      </c>
      <c r="H8" s="2" t="n">
        <f aca="false">SUMIF(data!A:A, A8, data!F:F)</f>
        <v>250</v>
      </c>
    </row>
    <row r="9" customFormat="false" ht="14.25" hidden="false" customHeight="false" outlineLevel="0" collapsed="false">
      <c r="A9" s="1" t="n">
        <v>45993</v>
      </c>
      <c r="B9" s="2" t="s">
        <v>18</v>
      </c>
      <c r="C9" s="2" t="s">
        <v>9</v>
      </c>
      <c r="D9" s="2" t="s">
        <v>16</v>
      </c>
      <c r="E9" s="2" t="s">
        <v>17</v>
      </c>
      <c r="F9" s="0" t="n">
        <v>40</v>
      </c>
      <c r="G9" s="2" t="s">
        <v>15</v>
      </c>
      <c r="H9" s="2" t="n">
        <f aca="false">SUMIF(data!A:A, A9, data!F:F)</f>
        <v>250</v>
      </c>
    </row>
    <row r="10" customFormat="false" ht="14.25" hidden="false" customHeight="false" outlineLevel="0" collapsed="false">
      <c r="A10" s="1" t="n">
        <v>45994</v>
      </c>
      <c r="B10" s="2" t="s">
        <v>19</v>
      </c>
      <c r="C10" s="2" t="s">
        <v>20</v>
      </c>
      <c r="D10" s="2" t="s">
        <v>10</v>
      </c>
      <c r="E10" s="2" t="s">
        <v>11</v>
      </c>
      <c r="F10" s="0" t="n">
        <v>90</v>
      </c>
      <c r="G10" s="2" t="s">
        <v>12</v>
      </c>
      <c r="H10" s="2" t="n">
        <f aca="false">SUMIF(data!A:A, A10, data!F:F)</f>
        <v>530</v>
      </c>
    </row>
    <row r="11" customFormat="false" ht="14.25" hidden="false" customHeight="false" outlineLevel="0" collapsed="false">
      <c r="A11" s="1" t="n">
        <v>45994</v>
      </c>
      <c r="B11" s="2" t="s">
        <v>19</v>
      </c>
      <c r="C11" s="2" t="s">
        <v>20</v>
      </c>
      <c r="D11" s="2" t="s">
        <v>10</v>
      </c>
      <c r="E11" s="2" t="s">
        <v>13</v>
      </c>
      <c r="F11" s="0" t="n">
        <v>100</v>
      </c>
      <c r="G11" s="2" t="s">
        <v>12</v>
      </c>
      <c r="H11" s="2" t="n">
        <f aca="false">SUMIF(data!A:A, A11, data!F:F)</f>
        <v>530</v>
      </c>
    </row>
    <row r="12" customFormat="false" ht="14.25" hidden="false" customHeight="false" outlineLevel="0" collapsed="false">
      <c r="A12" s="1" t="n">
        <v>45994</v>
      </c>
      <c r="B12" s="2" t="s">
        <v>19</v>
      </c>
      <c r="C12" s="2" t="s">
        <v>20</v>
      </c>
      <c r="D12" s="2" t="s">
        <v>16</v>
      </c>
      <c r="E12" s="2" t="s">
        <v>21</v>
      </c>
      <c r="F12" s="0" t="n">
        <v>90</v>
      </c>
      <c r="G12" s="2" t="s">
        <v>15</v>
      </c>
      <c r="H12" s="2" t="n">
        <f aca="false">SUMIF(data!A:A, A12, data!F:F)</f>
        <v>530</v>
      </c>
    </row>
    <row r="13" customFormat="false" ht="14.25" hidden="false" customHeight="false" outlineLevel="0" collapsed="false">
      <c r="A13" s="1" t="n">
        <v>45994</v>
      </c>
      <c r="B13" s="2" t="s">
        <v>19</v>
      </c>
      <c r="C13" s="2" t="s">
        <v>20</v>
      </c>
      <c r="D13" s="2" t="s">
        <v>22</v>
      </c>
      <c r="E13" s="2" t="s">
        <v>23</v>
      </c>
      <c r="F13" s="0" t="n">
        <v>250</v>
      </c>
      <c r="G13" s="2" t="s">
        <v>12</v>
      </c>
      <c r="H13" s="2" t="n">
        <f aca="false">SUMIF(data!A:A, A13, data!F:F)</f>
        <v>530</v>
      </c>
    </row>
    <row r="14" customFormat="false" ht="14.25" hidden="false" customHeight="false" outlineLevel="0" collapsed="false">
      <c r="A14" s="1" t="n">
        <v>45995</v>
      </c>
      <c r="B14" s="2" t="s">
        <v>24</v>
      </c>
      <c r="C14" s="2" t="s">
        <v>20</v>
      </c>
      <c r="D14" s="2" t="s">
        <v>10</v>
      </c>
      <c r="E14" s="2" t="s">
        <v>11</v>
      </c>
      <c r="F14" s="0" t="n">
        <v>95</v>
      </c>
      <c r="G14" s="2" t="s">
        <v>12</v>
      </c>
      <c r="H14" s="2" t="n">
        <f aca="false">SUMIF(data!A:A, A14, data!F:F)</f>
        <v>395</v>
      </c>
    </row>
    <row r="15" customFormat="false" ht="14.25" hidden="false" customHeight="false" outlineLevel="0" collapsed="false">
      <c r="A15" s="1" t="n">
        <v>45995</v>
      </c>
      <c r="B15" s="2" t="s">
        <v>24</v>
      </c>
      <c r="C15" s="2" t="s">
        <v>20</v>
      </c>
      <c r="D15" s="2" t="s">
        <v>10</v>
      </c>
      <c r="E15" s="2" t="s">
        <v>13</v>
      </c>
      <c r="F15" s="0" t="n">
        <v>100</v>
      </c>
      <c r="G15" s="2" t="s">
        <v>12</v>
      </c>
      <c r="H15" s="2" t="n">
        <f aca="false">SUMIF(data!A:A, A15, data!F:F)</f>
        <v>395</v>
      </c>
    </row>
    <row r="16" customFormat="false" ht="14.25" hidden="false" customHeight="false" outlineLevel="0" collapsed="false">
      <c r="A16" s="1" t="n">
        <v>45995</v>
      </c>
      <c r="B16" s="2" t="s">
        <v>24</v>
      </c>
      <c r="C16" s="2" t="s">
        <v>20</v>
      </c>
      <c r="D16" s="2" t="s">
        <v>16</v>
      </c>
      <c r="E16" s="2" t="s">
        <v>25</v>
      </c>
      <c r="F16" s="0" t="n">
        <v>200</v>
      </c>
      <c r="G16" s="2" t="s">
        <v>12</v>
      </c>
      <c r="H16" s="2" t="n">
        <f aca="false">SUMIF(data!A:A, A16, data!F:F)</f>
        <v>395</v>
      </c>
    </row>
    <row r="17" customFormat="false" ht="14.25" hidden="false" customHeight="false" outlineLevel="0" collapsed="false">
      <c r="A17" s="1" t="n">
        <v>45996</v>
      </c>
      <c r="B17" s="2" t="s">
        <v>26</v>
      </c>
      <c r="C17" s="2" t="s">
        <v>9</v>
      </c>
      <c r="D17" s="2" t="s">
        <v>10</v>
      </c>
      <c r="E17" s="2" t="s">
        <v>11</v>
      </c>
      <c r="F17" s="0" t="n">
        <v>75</v>
      </c>
      <c r="G17" s="2" t="s">
        <v>12</v>
      </c>
      <c r="H17" s="2" t="n">
        <f aca="false">SUMIF(data!A:A, A17, data!F:F)</f>
        <v>680</v>
      </c>
    </row>
    <row r="18" customFormat="false" ht="14.25" hidden="false" customHeight="false" outlineLevel="0" collapsed="false">
      <c r="A18" s="1" t="n">
        <v>45996</v>
      </c>
      <c r="B18" s="2" t="s">
        <v>26</v>
      </c>
      <c r="C18" s="2" t="s">
        <v>9</v>
      </c>
      <c r="D18" s="2" t="s">
        <v>10</v>
      </c>
      <c r="E18" s="2" t="s">
        <v>13</v>
      </c>
      <c r="F18" s="0" t="n">
        <v>85</v>
      </c>
      <c r="G18" s="2" t="s">
        <v>12</v>
      </c>
      <c r="H18" s="2" t="n">
        <f aca="false">SUMIF(data!A:A, A18, data!F:F)</f>
        <v>680</v>
      </c>
    </row>
    <row r="19" customFormat="false" ht="14.25" hidden="false" customHeight="false" outlineLevel="0" collapsed="false">
      <c r="A19" s="1" t="n">
        <v>45996</v>
      </c>
      <c r="B19" s="2" t="s">
        <v>26</v>
      </c>
      <c r="C19" s="2" t="s">
        <v>9</v>
      </c>
      <c r="D19" s="2" t="s">
        <v>10</v>
      </c>
      <c r="E19" s="2" t="s">
        <v>14</v>
      </c>
      <c r="F19" s="0" t="n">
        <v>30</v>
      </c>
      <c r="G19" s="2" t="s">
        <v>15</v>
      </c>
      <c r="H19" s="2" t="n">
        <f aca="false">SUMIF(data!A:A, A19, data!F:F)</f>
        <v>680</v>
      </c>
    </row>
    <row r="20" customFormat="false" ht="14.25" hidden="false" customHeight="false" outlineLevel="0" collapsed="false">
      <c r="A20" s="1" t="n">
        <v>45996</v>
      </c>
      <c r="B20" s="2" t="s">
        <v>26</v>
      </c>
      <c r="C20" s="2" t="s">
        <v>9</v>
      </c>
      <c r="D20" s="2" t="s">
        <v>16</v>
      </c>
      <c r="E20" s="2" t="s">
        <v>17</v>
      </c>
      <c r="F20" s="0" t="n">
        <v>40</v>
      </c>
      <c r="G20" s="2" t="s">
        <v>15</v>
      </c>
      <c r="H20" s="2" t="n">
        <f aca="false">SUMIF(data!A:A, A20, data!F:F)</f>
        <v>680</v>
      </c>
    </row>
    <row r="21" customFormat="false" ht="14.25" hidden="false" customHeight="false" outlineLevel="0" collapsed="false">
      <c r="A21" s="1" t="n">
        <v>45996</v>
      </c>
      <c r="B21" s="2" t="s">
        <v>26</v>
      </c>
      <c r="C21" s="2" t="s">
        <v>9</v>
      </c>
      <c r="D21" s="2" t="s">
        <v>27</v>
      </c>
      <c r="E21" s="2" t="s">
        <v>28</v>
      </c>
      <c r="F21" s="0" t="n">
        <v>450</v>
      </c>
      <c r="G21" s="2" t="s">
        <v>12</v>
      </c>
      <c r="H21" s="2" t="n">
        <f aca="false">SUMIF(data!A:A, A21, data!F:F)</f>
        <v>680</v>
      </c>
    </row>
    <row r="22" customFormat="false" ht="14.25" hidden="false" customHeight="false" outlineLevel="0" collapsed="false">
      <c r="A22" s="1" t="n">
        <v>45997</v>
      </c>
      <c r="B22" s="2" t="s">
        <v>29</v>
      </c>
      <c r="C22" s="2" t="s">
        <v>9</v>
      </c>
      <c r="D22" s="2" t="s">
        <v>10</v>
      </c>
      <c r="E22" s="2" t="s">
        <v>11</v>
      </c>
      <c r="F22" s="0" t="n">
        <v>80</v>
      </c>
      <c r="G22" s="2" t="s">
        <v>12</v>
      </c>
      <c r="H22" s="2" t="n">
        <f aca="false">SUMIF(data!A:A, A22, data!F:F)</f>
        <v>245</v>
      </c>
    </row>
    <row r="23" customFormat="false" ht="14.25" hidden="false" customHeight="false" outlineLevel="0" collapsed="false">
      <c r="A23" s="1" t="n">
        <v>45997</v>
      </c>
      <c r="B23" s="2" t="s">
        <v>29</v>
      </c>
      <c r="C23" s="2" t="s">
        <v>9</v>
      </c>
      <c r="D23" s="2" t="s">
        <v>10</v>
      </c>
      <c r="E23" s="2" t="s">
        <v>13</v>
      </c>
      <c r="F23" s="0" t="n">
        <v>90</v>
      </c>
      <c r="G23" s="2" t="s">
        <v>12</v>
      </c>
      <c r="H23" s="2" t="n">
        <f aca="false">SUMIF(data!A:A, A23, data!F:F)</f>
        <v>245</v>
      </c>
    </row>
    <row r="24" customFormat="false" ht="14.25" hidden="false" customHeight="false" outlineLevel="0" collapsed="false">
      <c r="A24" s="1" t="n">
        <v>45997</v>
      </c>
      <c r="B24" s="2" t="s">
        <v>29</v>
      </c>
      <c r="C24" s="2" t="s">
        <v>9</v>
      </c>
      <c r="D24" s="2" t="s">
        <v>10</v>
      </c>
      <c r="E24" s="2" t="s">
        <v>14</v>
      </c>
      <c r="F24" s="0" t="n">
        <v>35</v>
      </c>
      <c r="G24" s="2" t="s">
        <v>15</v>
      </c>
      <c r="H24" s="2" t="n">
        <f aca="false">SUMIF(data!A:A, A24, data!F:F)</f>
        <v>245</v>
      </c>
    </row>
    <row r="25" customFormat="false" ht="14.25" hidden="false" customHeight="false" outlineLevel="0" collapsed="false">
      <c r="A25" s="1" t="n">
        <v>45997</v>
      </c>
      <c r="B25" s="2" t="s">
        <v>29</v>
      </c>
      <c r="C25" s="2" t="s">
        <v>9</v>
      </c>
      <c r="D25" s="2" t="s">
        <v>16</v>
      </c>
      <c r="E25" s="2" t="s">
        <v>17</v>
      </c>
      <c r="F25" s="0" t="n">
        <v>40</v>
      </c>
      <c r="G25" s="2" t="s">
        <v>15</v>
      </c>
      <c r="H25" s="2" t="n">
        <f aca="false">SUMIF(data!A:A, A25, data!F:F)</f>
        <v>245</v>
      </c>
    </row>
    <row r="26" customFormat="false" ht="14.25" hidden="false" customHeight="false" outlineLevel="0" collapsed="false">
      <c r="A26" s="1" t="n">
        <v>45998</v>
      </c>
      <c r="B26" s="2" t="s">
        <v>30</v>
      </c>
      <c r="C26" s="2" t="s">
        <v>9</v>
      </c>
      <c r="D26" s="2" t="s">
        <v>10</v>
      </c>
      <c r="E26" s="2" t="s">
        <v>11</v>
      </c>
      <c r="F26" s="0" t="n">
        <v>85</v>
      </c>
      <c r="G26" s="2" t="s">
        <v>12</v>
      </c>
      <c r="H26" s="2" t="n">
        <f aca="false">SUMIF(data!A:A, A26, data!F:F)</f>
        <v>520</v>
      </c>
    </row>
    <row r="27" customFormat="false" ht="14.25" hidden="false" customHeight="false" outlineLevel="0" collapsed="false">
      <c r="A27" s="1" t="n">
        <v>45998</v>
      </c>
      <c r="B27" s="2" t="s">
        <v>30</v>
      </c>
      <c r="C27" s="2" t="s">
        <v>9</v>
      </c>
      <c r="D27" s="2" t="s">
        <v>10</v>
      </c>
      <c r="E27" s="2" t="s">
        <v>13</v>
      </c>
      <c r="F27" s="0" t="n">
        <v>95</v>
      </c>
      <c r="G27" s="2" t="s">
        <v>12</v>
      </c>
      <c r="H27" s="2" t="n">
        <f aca="false">SUMIF(data!A:A, A27, data!F:F)</f>
        <v>520</v>
      </c>
    </row>
    <row r="28" customFormat="false" ht="14.25" hidden="false" customHeight="false" outlineLevel="0" collapsed="false">
      <c r="A28" s="1" t="n">
        <v>45998</v>
      </c>
      <c r="B28" s="2" t="s">
        <v>30</v>
      </c>
      <c r="C28" s="2" t="s">
        <v>9</v>
      </c>
      <c r="D28" s="2" t="s">
        <v>10</v>
      </c>
      <c r="E28" s="2" t="s">
        <v>14</v>
      </c>
      <c r="F28" s="0" t="n">
        <v>40</v>
      </c>
      <c r="G28" s="2" t="s">
        <v>15</v>
      </c>
      <c r="H28" s="2" t="n">
        <f aca="false">SUMIF(data!A:A, A28, data!F:F)</f>
        <v>520</v>
      </c>
    </row>
    <row r="29" customFormat="false" ht="14.25" hidden="false" customHeight="false" outlineLevel="0" collapsed="false">
      <c r="A29" s="1" t="n">
        <v>45998</v>
      </c>
      <c r="B29" s="2" t="s">
        <v>30</v>
      </c>
      <c r="C29" s="2" t="s">
        <v>9</v>
      </c>
      <c r="D29" s="2" t="s">
        <v>16</v>
      </c>
      <c r="E29" s="2" t="s">
        <v>31</v>
      </c>
      <c r="F29" s="0" t="n">
        <v>300</v>
      </c>
      <c r="G29" s="2" t="s">
        <v>12</v>
      </c>
      <c r="H29" s="2" t="n">
        <f aca="false">SUMIF(data!A:A, A29, data!F:F)</f>
        <v>520</v>
      </c>
    </row>
    <row r="30" customFormat="false" ht="14.25" hidden="false" customHeight="false" outlineLevel="0" collapsed="false">
      <c r="A30" s="1" t="n">
        <v>45999</v>
      </c>
      <c r="B30" s="2" t="s">
        <v>8</v>
      </c>
      <c r="C30" s="2" t="s">
        <v>9</v>
      </c>
      <c r="D30" s="2" t="s">
        <v>10</v>
      </c>
      <c r="E30" s="2" t="s">
        <v>11</v>
      </c>
      <c r="F30" s="0" t="n">
        <v>90</v>
      </c>
      <c r="G30" s="2" t="s">
        <v>12</v>
      </c>
      <c r="H30" s="2" t="n">
        <f aca="false">SUMIF(data!A:A, A30, data!F:F)</f>
        <v>275</v>
      </c>
    </row>
    <row r="31" customFormat="false" ht="14.25" hidden="false" customHeight="false" outlineLevel="0" collapsed="false">
      <c r="A31" s="1" t="n">
        <v>45999</v>
      </c>
      <c r="B31" s="2" t="s">
        <v>8</v>
      </c>
      <c r="C31" s="2" t="s">
        <v>9</v>
      </c>
      <c r="D31" s="2" t="s">
        <v>10</v>
      </c>
      <c r="E31" s="2" t="s">
        <v>13</v>
      </c>
      <c r="F31" s="0" t="n">
        <v>100</v>
      </c>
      <c r="G31" s="2" t="s">
        <v>12</v>
      </c>
      <c r="H31" s="2" t="n">
        <f aca="false">SUMIF(data!A:A, A31, data!F:F)</f>
        <v>275</v>
      </c>
    </row>
    <row r="32" customFormat="false" ht="14.25" hidden="false" customHeight="false" outlineLevel="0" collapsed="false">
      <c r="A32" s="1" t="n">
        <v>45999</v>
      </c>
      <c r="B32" s="2" t="s">
        <v>8</v>
      </c>
      <c r="C32" s="2" t="s">
        <v>9</v>
      </c>
      <c r="D32" s="2" t="s">
        <v>10</v>
      </c>
      <c r="E32" s="2" t="s">
        <v>14</v>
      </c>
      <c r="F32" s="0" t="n">
        <v>45</v>
      </c>
      <c r="G32" s="2" t="s">
        <v>15</v>
      </c>
      <c r="H32" s="2" t="n">
        <f aca="false">SUMIF(data!A:A, A32, data!F:F)</f>
        <v>275</v>
      </c>
    </row>
    <row r="33" customFormat="false" ht="14.25" hidden="false" customHeight="false" outlineLevel="0" collapsed="false">
      <c r="A33" s="1" t="n">
        <v>45999</v>
      </c>
      <c r="B33" s="2" t="s">
        <v>8</v>
      </c>
      <c r="C33" s="2" t="s">
        <v>9</v>
      </c>
      <c r="D33" s="2" t="s">
        <v>16</v>
      </c>
      <c r="E33" s="2" t="s">
        <v>17</v>
      </c>
      <c r="F33" s="0" t="n">
        <v>40</v>
      </c>
      <c r="G33" s="2" t="s">
        <v>15</v>
      </c>
      <c r="H33" s="2" t="n">
        <f aca="false">SUMIF(data!A:A, A33, data!F:F)</f>
        <v>275</v>
      </c>
    </row>
    <row r="34" customFormat="false" ht="14.25" hidden="false" customHeight="false" outlineLevel="0" collapsed="false">
      <c r="A34" s="1" t="n">
        <v>46000</v>
      </c>
      <c r="B34" s="2" t="s">
        <v>18</v>
      </c>
      <c r="C34" s="2" t="s">
        <v>9</v>
      </c>
      <c r="D34" s="2" t="s">
        <v>10</v>
      </c>
      <c r="E34" s="2" t="s">
        <v>11</v>
      </c>
      <c r="F34" s="0" t="n">
        <v>80</v>
      </c>
      <c r="G34" s="2" t="s">
        <v>12</v>
      </c>
      <c r="H34" s="2" t="n">
        <f aca="false">SUMIF(data!A:A, A34, data!F:F)</f>
        <v>1445</v>
      </c>
    </row>
    <row r="35" customFormat="false" ht="14.25" hidden="false" customHeight="false" outlineLevel="0" collapsed="false">
      <c r="A35" s="1" t="n">
        <v>46000</v>
      </c>
      <c r="B35" s="2" t="s">
        <v>18</v>
      </c>
      <c r="C35" s="2" t="s">
        <v>9</v>
      </c>
      <c r="D35" s="2" t="s">
        <v>10</v>
      </c>
      <c r="E35" s="2" t="s">
        <v>13</v>
      </c>
      <c r="F35" s="0" t="n">
        <v>90</v>
      </c>
      <c r="G35" s="2" t="s">
        <v>12</v>
      </c>
      <c r="H35" s="2" t="n">
        <f aca="false">SUMIF(data!A:A, A35, data!F:F)</f>
        <v>1445</v>
      </c>
    </row>
    <row r="36" customFormat="false" ht="14.25" hidden="false" customHeight="false" outlineLevel="0" collapsed="false">
      <c r="A36" s="1" t="n">
        <v>46000</v>
      </c>
      <c r="B36" s="2" t="s">
        <v>18</v>
      </c>
      <c r="C36" s="2" t="s">
        <v>9</v>
      </c>
      <c r="D36" s="2" t="s">
        <v>10</v>
      </c>
      <c r="E36" s="2" t="s">
        <v>14</v>
      </c>
      <c r="F36" s="0" t="n">
        <v>35</v>
      </c>
      <c r="G36" s="2" t="s">
        <v>15</v>
      </c>
      <c r="H36" s="2" t="n">
        <f aca="false">SUMIF(data!A:A, A36, data!F:F)</f>
        <v>1445</v>
      </c>
    </row>
    <row r="37" customFormat="false" ht="14.25" hidden="false" customHeight="false" outlineLevel="0" collapsed="false">
      <c r="A37" s="1" t="n">
        <v>46000</v>
      </c>
      <c r="B37" s="2" t="s">
        <v>18</v>
      </c>
      <c r="C37" s="2" t="s">
        <v>9</v>
      </c>
      <c r="D37" s="2" t="s">
        <v>16</v>
      </c>
      <c r="E37" s="2" t="s">
        <v>17</v>
      </c>
      <c r="F37" s="0" t="n">
        <v>40</v>
      </c>
      <c r="G37" s="2" t="s">
        <v>15</v>
      </c>
      <c r="H37" s="2" t="n">
        <f aca="false">SUMIF(data!A:A, A37, data!F:F)</f>
        <v>1445</v>
      </c>
    </row>
    <row r="38" customFormat="false" ht="14.25" hidden="false" customHeight="false" outlineLevel="0" collapsed="false">
      <c r="A38" s="1" t="n">
        <v>46000</v>
      </c>
      <c r="B38" s="2" t="s">
        <v>18</v>
      </c>
      <c r="C38" s="2" t="s">
        <v>9</v>
      </c>
      <c r="D38" s="2" t="s">
        <v>32</v>
      </c>
      <c r="E38" s="2" t="s">
        <v>33</v>
      </c>
      <c r="F38" s="0" t="n">
        <v>1200</v>
      </c>
      <c r="G38" s="2" t="s">
        <v>12</v>
      </c>
      <c r="H38" s="2" t="n">
        <f aca="false">SUMIF(data!A:A, A38, data!F:F)</f>
        <v>1445</v>
      </c>
    </row>
    <row r="39" customFormat="false" ht="14.25" hidden="false" customHeight="false" outlineLevel="0" collapsed="false">
      <c r="A39" s="1" t="n">
        <v>46001</v>
      </c>
      <c r="B39" s="2" t="s">
        <v>19</v>
      </c>
      <c r="C39" s="2" t="s">
        <v>20</v>
      </c>
      <c r="D39" s="2" t="s">
        <v>10</v>
      </c>
      <c r="E39" s="2" t="s">
        <v>11</v>
      </c>
      <c r="F39" s="0" t="n">
        <v>95</v>
      </c>
      <c r="G39" s="2" t="s">
        <v>12</v>
      </c>
      <c r="H39" s="2" t="n">
        <f aca="false">SUMIF(data!A:A, A39, data!F:F)</f>
        <v>295</v>
      </c>
    </row>
    <row r="40" customFormat="false" ht="14.25" hidden="false" customHeight="false" outlineLevel="0" collapsed="false">
      <c r="A40" s="1" t="n">
        <v>46001</v>
      </c>
      <c r="B40" s="2" t="s">
        <v>19</v>
      </c>
      <c r="C40" s="2" t="s">
        <v>20</v>
      </c>
      <c r="D40" s="2" t="s">
        <v>10</v>
      </c>
      <c r="E40" s="2" t="s">
        <v>13</v>
      </c>
      <c r="F40" s="0" t="n">
        <v>100</v>
      </c>
      <c r="G40" s="2" t="s">
        <v>12</v>
      </c>
      <c r="H40" s="2" t="n">
        <f aca="false">SUMIF(data!A:A, A40, data!F:F)</f>
        <v>295</v>
      </c>
    </row>
    <row r="41" customFormat="false" ht="14.25" hidden="false" customHeight="false" outlineLevel="0" collapsed="false">
      <c r="A41" s="1" t="n">
        <v>46001</v>
      </c>
      <c r="B41" s="2" t="s">
        <v>19</v>
      </c>
      <c r="C41" s="2" t="s">
        <v>20</v>
      </c>
      <c r="D41" s="2" t="s">
        <v>16</v>
      </c>
      <c r="E41" s="2" t="s">
        <v>21</v>
      </c>
      <c r="F41" s="0" t="n">
        <v>100</v>
      </c>
      <c r="G41" s="2" t="s">
        <v>15</v>
      </c>
      <c r="H41" s="2" t="n">
        <f aca="false">SUMIF(data!A:A, A41, data!F:F)</f>
        <v>295</v>
      </c>
    </row>
    <row r="42" customFormat="false" ht="14.25" hidden="false" customHeight="false" outlineLevel="0" collapsed="false">
      <c r="A42" s="1" t="n">
        <v>46002</v>
      </c>
      <c r="B42" s="2" t="s">
        <v>24</v>
      </c>
      <c r="C42" s="2" t="s">
        <v>20</v>
      </c>
      <c r="D42" s="2" t="s">
        <v>10</v>
      </c>
      <c r="E42" s="2" t="s">
        <v>11</v>
      </c>
      <c r="F42" s="0" t="n">
        <v>90</v>
      </c>
      <c r="G42" s="2" t="s">
        <v>12</v>
      </c>
      <c r="H42" s="2" t="n">
        <f aca="false">SUMIF(data!A:A, A42, data!F:F)</f>
        <v>395</v>
      </c>
    </row>
    <row r="43" customFormat="false" ht="14.25" hidden="false" customHeight="false" outlineLevel="0" collapsed="false">
      <c r="A43" s="1" t="n">
        <v>46002</v>
      </c>
      <c r="B43" s="2" t="s">
        <v>24</v>
      </c>
      <c r="C43" s="2" t="s">
        <v>20</v>
      </c>
      <c r="D43" s="2" t="s">
        <v>10</v>
      </c>
      <c r="E43" s="2" t="s">
        <v>13</v>
      </c>
      <c r="F43" s="0" t="n">
        <v>95</v>
      </c>
      <c r="G43" s="2" t="s">
        <v>12</v>
      </c>
      <c r="H43" s="2" t="n">
        <f aca="false">SUMIF(data!A:A, A43, data!F:F)</f>
        <v>395</v>
      </c>
    </row>
    <row r="44" customFormat="false" ht="14.25" hidden="false" customHeight="false" outlineLevel="0" collapsed="false">
      <c r="A44" s="1" t="n">
        <v>46002</v>
      </c>
      <c r="B44" s="2" t="s">
        <v>24</v>
      </c>
      <c r="C44" s="2" t="s">
        <v>20</v>
      </c>
      <c r="D44" s="2" t="s">
        <v>16</v>
      </c>
      <c r="E44" s="2" t="s">
        <v>25</v>
      </c>
      <c r="F44" s="0" t="n">
        <v>210</v>
      </c>
      <c r="G44" s="2" t="s">
        <v>12</v>
      </c>
      <c r="H44" s="2" t="n">
        <f aca="false">SUMIF(data!A:A, A44, data!F:F)</f>
        <v>395</v>
      </c>
    </row>
    <row r="45" customFormat="false" ht="14.25" hidden="false" customHeight="false" outlineLevel="0" collapsed="false">
      <c r="A45" s="1" t="n">
        <v>46003</v>
      </c>
      <c r="B45" s="2" t="s">
        <v>26</v>
      </c>
      <c r="C45" s="2" t="s">
        <v>9</v>
      </c>
      <c r="D45" s="2" t="s">
        <v>10</v>
      </c>
      <c r="E45" s="2" t="s">
        <v>11</v>
      </c>
      <c r="F45" s="0" t="n">
        <v>75</v>
      </c>
      <c r="G45" s="2" t="s">
        <v>12</v>
      </c>
      <c r="H45" s="2" t="n">
        <f aca="false">SUMIF(data!A:A, A45, data!F:F)</f>
        <v>230</v>
      </c>
    </row>
    <row r="46" customFormat="false" ht="14.25" hidden="false" customHeight="false" outlineLevel="0" collapsed="false">
      <c r="A46" s="1" t="n">
        <v>46003</v>
      </c>
      <c r="B46" s="2" t="s">
        <v>26</v>
      </c>
      <c r="C46" s="2" t="s">
        <v>9</v>
      </c>
      <c r="D46" s="2" t="s">
        <v>10</v>
      </c>
      <c r="E46" s="2" t="s">
        <v>13</v>
      </c>
      <c r="F46" s="0" t="n">
        <v>85</v>
      </c>
      <c r="G46" s="2" t="s">
        <v>12</v>
      </c>
      <c r="H46" s="2" t="n">
        <f aca="false">SUMIF(data!A:A, A46, data!F:F)</f>
        <v>230</v>
      </c>
    </row>
    <row r="47" customFormat="false" ht="14.25" hidden="false" customHeight="false" outlineLevel="0" collapsed="false">
      <c r="A47" s="1" t="n">
        <v>46003</v>
      </c>
      <c r="B47" s="2" t="s">
        <v>26</v>
      </c>
      <c r="C47" s="2" t="s">
        <v>9</v>
      </c>
      <c r="D47" s="2" t="s">
        <v>10</v>
      </c>
      <c r="E47" s="2" t="s">
        <v>14</v>
      </c>
      <c r="F47" s="0" t="n">
        <v>30</v>
      </c>
      <c r="G47" s="2" t="s">
        <v>15</v>
      </c>
      <c r="H47" s="2" t="n">
        <f aca="false">SUMIF(data!A:A, A47, data!F:F)</f>
        <v>230</v>
      </c>
    </row>
    <row r="48" customFormat="false" ht="14.25" hidden="false" customHeight="false" outlineLevel="0" collapsed="false">
      <c r="A48" s="1" t="n">
        <v>46003</v>
      </c>
      <c r="B48" s="2" t="s">
        <v>26</v>
      </c>
      <c r="C48" s="2" t="s">
        <v>9</v>
      </c>
      <c r="D48" s="2" t="s">
        <v>16</v>
      </c>
      <c r="E48" s="2" t="s">
        <v>17</v>
      </c>
      <c r="F48" s="0" t="n">
        <v>40</v>
      </c>
      <c r="G48" s="2" t="s">
        <v>15</v>
      </c>
      <c r="H48" s="2" t="n">
        <f aca="false">SUMIF(data!A:A, A48, data!F:F)</f>
        <v>230</v>
      </c>
    </row>
    <row r="49" customFormat="false" ht="14.25" hidden="false" customHeight="false" outlineLevel="0" collapsed="false">
      <c r="A49" s="1" t="n">
        <v>46004</v>
      </c>
      <c r="B49" s="2" t="s">
        <v>29</v>
      </c>
      <c r="C49" s="2" t="s">
        <v>9</v>
      </c>
      <c r="D49" s="2" t="s">
        <v>10</v>
      </c>
      <c r="E49" s="2" t="s">
        <v>11</v>
      </c>
      <c r="F49" s="0" t="n">
        <v>80</v>
      </c>
      <c r="G49" s="2" t="s">
        <v>12</v>
      </c>
      <c r="H49" s="2" t="n">
        <f aca="false">SUMIF(data!A:A, A49, data!F:F)</f>
        <v>245</v>
      </c>
    </row>
    <row r="50" customFormat="false" ht="14.25" hidden="false" customHeight="false" outlineLevel="0" collapsed="false">
      <c r="A50" s="1" t="n">
        <v>46004</v>
      </c>
      <c r="B50" s="2" t="s">
        <v>29</v>
      </c>
      <c r="C50" s="2" t="s">
        <v>9</v>
      </c>
      <c r="D50" s="2" t="s">
        <v>10</v>
      </c>
      <c r="E50" s="2" t="s">
        <v>13</v>
      </c>
      <c r="F50" s="0" t="n">
        <v>90</v>
      </c>
      <c r="G50" s="2" t="s">
        <v>12</v>
      </c>
      <c r="H50" s="2" t="n">
        <f aca="false">SUMIF(data!A:A, A50, data!F:F)</f>
        <v>245</v>
      </c>
    </row>
    <row r="51" customFormat="false" ht="14.25" hidden="false" customHeight="false" outlineLevel="0" collapsed="false">
      <c r="A51" s="1" t="n">
        <v>46004</v>
      </c>
      <c r="B51" s="2" t="s">
        <v>29</v>
      </c>
      <c r="C51" s="2" t="s">
        <v>9</v>
      </c>
      <c r="D51" s="2" t="s">
        <v>10</v>
      </c>
      <c r="E51" s="2" t="s">
        <v>14</v>
      </c>
      <c r="F51" s="0" t="n">
        <v>35</v>
      </c>
      <c r="G51" s="2" t="s">
        <v>15</v>
      </c>
      <c r="H51" s="2" t="n">
        <f aca="false">SUMIF(data!A:A, A51, data!F:F)</f>
        <v>245</v>
      </c>
    </row>
    <row r="52" customFormat="false" ht="14.25" hidden="false" customHeight="false" outlineLevel="0" collapsed="false">
      <c r="A52" s="1" t="n">
        <v>46004</v>
      </c>
      <c r="B52" s="2" t="s">
        <v>29</v>
      </c>
      <c r="C52" s="2" t="s">
        <v>9</v>
      </c>
      <c r="D52" s="2" t="s">
        <v>16</v>
      </c>
      <c r="E52" s="2" t="s">
        <v>17</v>
      </c>
      <c r="F52" s="0" t="n">
        <v>40</v>
      </c>
      <c r="G52" s="2" t="s">
        <v>15</v>
      </c>
      <c r="H52" s="2" t="n">
        <f aca="false">SUMIF(data!A:A, A52, data!F:F)</f>
        <v>245</v>
      </c>
    </row>
    <row r="53" customFormat="false" ht="14.25" hidden="false" customHeight="false" outlineLevel="0" collapsed="false">
      <c r="A53" s="1" t="n">
        <v>46005</v>
      </c>
      <c r="B53" s="2" t="s">
        <v>30</v>
      </c>
      <c r="C53" s="2" t="s">
        <v>9</v>
      </c>
      <c r="D53" s="2" t="s">
        <v>10</v>
      </c>
      <c r="E53" s="2" t="s">
        <v>11</v>
      </c>
      <c r="F53" s="0" t="n">
        <v>85</v>
      </c>
      <c r="G53" s="2" t="s">
        <v>12</v>
      </c>
      <c r="H53" s="2" t="n">
        <f aca="false">SUMIF(data!A:A, A53, data!F:F)</f>
        <v>520</v>
      </c>
    </row>
    <row r="54" customFormat="false" ht="14.25" hidden="false" customHeight="false" outlineLevel="0" collapsed="false">
      <c r="A54" s="1" t="n">
        <v>46005</v>
      </c>
      <c r="B54" s="2" t="s">
        <v>30</v>
      </c>
      <c r="C54" s="2" t="s">
        <v>9</v>
      </c>
      <c r="D54" s="2" t="s">
        <v>10</v>
      </c>
      <c r="E54" s="2" t="s">
        <v>13</v>
      </c>
      <c r="F54" s="0" t="n">
        <v>95</v>
      </c>
      <c r="G54" s="2" t="s">
        <v>12</v>
      </c>
      <c r="H54" s="2" t="n">
        <f aca="false">SUMIF(data!A:A, A54, data!F:F)</f>
        <v>520</v>
      </c>
    </row>
    <row r="55" customFormat="false" ht="14.25" hidden="false" customHeight="false" outlineLevel="0" collapsed="false">
      <c r="A55" s="1" t="n">
        <v>46005</v>
      </c>
      <c r="B55" s="2" t="s">
        <v>30</v>
      </c>
      <c r="C55" s="2" t="s">
        <v>9</v>
      </c>
      <c r="D55" s="2" t="s">
        <v>10</v>
      </c>
      <c r="E55" s="2" t="s">
        <v>14</v>
      </c>
      <c r="F55" s="0" t="n">
        <v>40</v>
      </c>
      <c r="G55" s="2" t="s">
        <v>15</v>
      </c>
      <c r="H55" s="2" t="n">
        <f aca="false">SUMIF(data!A:A, A55, data!F:F)</f>
        <v>520</v>
      </c>
    </row>
    <row r="56" customFormat="false" ht="14.25" hidden="false" customHeight="false" outlineLevel="0" collapsed="false">
      <c r="A56" s="1" t="n">
        <v>46005</v>
      </c>
      <c r="B56" s="2" t="s">
        <v>30</v>
      </c>
      <c r="C56" s="2" t="s">
        <v>9</v>
      </c>
      <c r="D56" s="2" t="s">
        <v>16</v>
      </c>
      <c r="E56" s="2" t="s">
        <v>31</v>
      </c>
      <c r="F56" s="0" t="n">
        <v>300</v>
      </c>
      <c r="G56" s="2" t="s">
        <v>12</v>
      </c>
      <c r="H56" s="2" t="n">
        <f aca="false">SUMIF(data!A:A, A56, data!F:F)</f>
        <v>520</v>
      </c>
    </row>
    <row r="57" customFormat="false" ht="14.25" hidden="false" customHeight="false" outlineLevel="0" collapsed="false">
      <c r="A57" s="1" t="n">
        <v>46006</v>
      </c>
      <c r="B57" s="2" t="s">
        <v>8</v>
      </c>
      <c r="C57" s="2" t="s">
        <v>9</v>
      </c>
      <c r="D57" s="2" t="s">
        <v>10</v>
      </c>
      <c r="E57" s="2" t="s">
        <v>11</v>
      </c>
      <c r="F57" s="0" t="n">
        <v>90</v>
      </c>
      <c r="G57" s="2" t="s">
        <v>12</v>
      </c>
      <c r="H57" s="2" t="n">
        <f aca="false">SUMIF(data!A:A, A57, data!F:F)</f>
        <v>1274</v>
      </c>
    </row>
    <row r="58" customFormat="false" ht="14.25" hidden="false" customHeight="false" outlineLevel="0" collapsed="false">
      <c r="A58" s="1" t="n">
        <v>46006</v>
      </c>
      <c r="B58" s="2" t="s">
        <v>8</v>
      </c>
      <c r="C58" s="2" t="s">
        <v>9</v>
      </c>
      <c r="D58" s="2" t="s">
        <v>10</v>
      </c>
      <c r="E58" s="2" t="s">
        <v>13</v>
      </c>
      <c r="F58" s="0" t="n">
        <v>100</v>
      </c>
      <c r="G58" s="2" t="s">
        <v>12</v>
      </c>
      <c r="H58" s="2" t="n">
        <f aca="false">SUMIF(data!A:A, A58, data!F:F)</f>
        <v>1274</v>
      </c>
    </row>
    <row r="59" customFormat="false" ht="14.25" hidden="false" customHeight="false" outlineLevel="0" collapsed="false">
      <c r="A59" s="1" t="n">
        <v>46006</v>
      </c>
      <c r="B59" s="2" t="s">
        <v>8</v>
      </c>
      <c r="C59" s="2" t="s">
        <v>9</v>
      </c>
      <c r="D59" s="2" t="s">
        <v>10</v>
      </c>
      <c r="E59" s="2" t="s">
        <v>14</v>
      </c>
      <c r="F59" s="0" t="n">
        <v>45</v>
      </c>
      <c r="G59" s="2" t="s">
        <v>15</v>
      </c>
      <c r="H59" s="2" t="n">
        <f aca="false">SUMIF(data!A:A, A59, data!F:F)</f>
        <v>1274</v>
      </c>
    </row>
    <row r="60" customFormat="false" ht="14.25" hidden="false" customHeight="false" outlineLevel="0" collapsed="false">
      <c r="A60" s="1" t="n">
        <v>46006</v>
      </c>
      <c r="B60" s="2" t="s">
        <v>8</v>
      </c>
      <c r="C60" s="2" t="s">
        <v>9</v>
      </c>
      <c r="D60" s="2" t="s">
        <v>16</v>
      </c>
      <c r="E60" s="2" t="s">
        <v>17</v>
      </c>
      <c r="F60" s="0" t="n">
        <v>40</v>
      </c>
      <c r="G60" s="2" t="s">
        <v>15</v>
      </c>
      <c r="H60" s="2" t="n">
        <f aca="false">SUMIF(data!A:A, A60, data!F:F)</f>
        <v>1274</v>
      </c>
    </row>
    <row r="61" customFormat="false" ht="14.25" hidden="false" customHeight="false" outlineLevel="0" collapsed="false">
      <c r="A61" s="1" t="n">
        <v>46006</v>
      </c>
      <c r="B61" s="2" t="s">
        <v>8</v>
      </c>
      <c r="C61" s="2" t="s">
        <v>9</v>
      </c>
      <c r="D61" s="2" t="s">
        <v>27</v>
      </c>
      <c r="E61" s="2" t="s">
        <v>34</v>
      </c>
      <c r="F61" s="0" t="n">
        <v>999</v>
      </c>
      <c r="G61" s="2" t="s">
        <v>12</v>
      </c>
      <c r="H61" s="2" t="n">
        <f aca="false">SUMIF(data!A:A, A61, data!F:F)</f>
        <v>1274</v>
      </c>
    </row>
    <row r="62" customFormat="false" ht="14.25" hidden="false" customHeight="false" outlineLevel="0" collapsed="false">
      <c r="A62" s="1" t="n">
        <v>46007</v>
      </c>
      <c r="B62" s="2" t="s">
        <v>18</v>
      </c>
      <c r="C62" s="2" t="s">
        <v>9</v>
      </c>
      <c r="D62" s="2" t="s">
        <v>10</v>
      </c>
      <c r="E62" s="2" t="s">
        <v>11</v>
      </c>
      <c r="F62" s="0" t="n">
        <v>80</v>
      </c>
      <c r="G62" s="2" t="s">
        <v>12</v>
      </c>
      <c r="H62" s="2" t="n">
        <f aca="false">SUMIF(data!A:A, A62, data!F:F)</f>
        <v>245</v>
      </c>
    </row>
    <row r="63" customFormat="false" ht="14.25" hidden="false" customHeight="false" outlineLevel="0" collapsed="false">
      <c r="A63" s="1" t="n">
        <v>46007</v>
      </c>
      <c r="B63" s="2" t="s">
        <v>18</v>
      </c>
      <c r="C63" s="2" t="s">
        <v>9</v>
      </c>
      <c r="D63" s="2" t="s">
        <v>10</v>
      </c>
      <c r="E63" s="2" t="s">
        <v>13</v>
      </c>
      <c r="F63" s="0" t="n">
        <v>90</v>
      </c>
      <c r="G63" s="2" t="s">
        <v>12</v>
      </c>
      <c r="H63" s="2" t="n">
        <f aca="false">SUMIF(data!A:A, A63, data!F:F)</f>
        <v>245</v>
      </c>
    </row>
    <row r="64" customFormat="false" ht="14.25" hidden="false" customHeight="false" outlineLevel="0" collapsed="false">
      <c r="A64" s="1" t="n">
        <v>46007</v>
      </c>
      <c r="B64" s="2" t="s">
        <v>18</v>
      </c>
      <c r="C64" s="2" t="s">
        <v>9</v>
      </c>
      <c r="D64" s="2" t="s">
        <v>10</v>
      </c>
      <c r="E64" s="2" t="s">
        <v>14</v>
      </c>
      <c r="F64" s="0" t="n">
        <v>35</v>
      </c>
      <c r="G64" s="2" t="s">
        <v>15</v>
      </c>
      <c r="H64" s="2" t="n">
        <f aca="false">SUMIF(data!A:A, A64, data!F:F)</f>
        <v>245</v>
      </c>
    </row>
    <row r="65" customFormat="false" ht="14.25" hidden="false" customHeight="false" outlineLevel="0" collapsed="false">
      <c r="A65" s="1" t="n">
        <v>46007</v>
      </c>
      <c r="B65" s="2" t="s">
        <v>18</v>
      </c>
      <c r="C65" s="2" t="s">
        <v>9</v>
      </c>
      <c r="D65" s="2" t="s">
        <v>16</v>
      </c>
      <c r="E65" s="2" t="s">
        <v>17</v>
      </c>
      <c r="F65" s="0" t="n">
        <v>40</v>
      </c>
      <c r="G65" s="2" t="s">
        <v>15</v>
      </c>
      <c r="H65" s="2" t="n">
        <f aca="false">SUMIF(data!A:A, A65, data!F:F)</f>
        <v>245</v>
      </c>
    </row>
    <row r="66" customFormat="false" ht="14.25" hidden="false" customHeight="false" outlineLevel="0" collapsed="false">
      <c r="A66" s="1" t="n">
        <v>46008</v>
      </c>
      <c r="B66" s="2" t="s">
        <v>19</v>
      </c>
      <c r="C66" s="2" t="s">
        <v>20</v>
      </c>
      <c r="D66" s="2" t="s">
        <v>10</v>
      </c>
      <c r="E66" s="2" t="s">
        <v>11</v>
      </c>
      <c r="F66" s="0" t="n">
        <v>95</v>
      </c>
      <c r="G66" s="2" t="s">
        <v>12</v>
      </c>
      <c r="H66" s="2" t="n">
        <f aca="false">SUMIF(data!A:A, A66, data!F:F)</f>
        <v>595</v>
      </c>
    </row>
    <row r="67" customFormat="false" ht="14.25" hidden="false" customHeight="false" outlineLevel="0" collapsed="false">
      <c r="A67" s="1" t="n">
        <v>46008</v>
      </c>
      <c r="B67" s="2" t="s">
        <v>19</v>
      </c>
      <c r="C67" s="2" t="s">
        <v>20</v>
      </c>
      <c r="D67" s="2" t="s">
        <v>10</v>
      </c>
      <c r="E67" s="2" t="s">
        <v>13</v>
      </c>
      <c r="F67" s="0" t="n">
        <v>100</v>
      </c>
      <c r="G67" s="2" t="s">
        <v>12</v>
      </c>
      <c r="H67" s="2" t="n">
        <f aca="false">SUMIF(data!A:A, A67, data!F:F)</f>
        <v>595</v>
      </c>
    </row>
    <row r="68" customFormat="false" ht="14.25" hidden="false" customHeight="false" outlineLevel="0" collapsed="false">
      <c r="A68" s="1" t="n">
        <v>46008</v>
      </c>
      <c r="B68" s="2" t="s">
        <v>19</v>
      </c>
      <c r="C68" s="2" t="s">
        <v>20</v>
      </c>
      <c r="D68" s="2" t="s">
        <v>16</v>
      </c>
      <c r="E68" s="2" t="s">
        <v>21</v>
      </c>
      <c r="F68" s="0" t="n">
        <v>100</v>
      </c>
      <c r="G68" s="2" t="s">
        <v>15</v>
      </c>
      <c r="H68" s="2" t="n">
        <f aca="false">SUMIF(data!A:A, A68, data!F:F)</f>
        <v>595</v>
      </c>
    </row>
    <row r="69" customFormat="false" ht="14.25" hidden="false" customHeight="false" outlineLevel="0" collapsed="false">
      <c r="A69" s="1" t="n">
        <v>46008</v>
      </c>
      <c r="B69" s="2" t="s">
        <v>19</v>
      </c>
      <c r="C69" s="2" t="s">
        <v>20</v>
      </c>
      <c r="D69" s="2" t="s">
        <v>22</v>
      </c>
      <c r="E69" s="2" t="s">
        <v>35</v>
      </c>
      <c r="F69" s="0" t="n">
        <v>300</v>
      </c>
      <c r="G69" s="2" t="s">
        <v>12</v>
      </c>
      <c r="H69" s="2" t="n">
        <f aca="false">SUMIF(data!A:A, A69, data!F:F)</f>
        <v>595</v>
      </c>
    </row>
    <row r="70" customFormat="false" ht="14.25" hidden="false" customHeight="false" outlineLevel="0" collapsed="false">
      <c r="A70" s="1" t="n">
        <v>46009</v>
      </c>
      <c r="B70" s="2" t="s">
        <v>24</v>
      </c>
      <c r="C70" s="2" t="s">
        <v>20</v>
      </c>
      <c r="D70" s="2" t="s">
        <v>10</v>
      </c>
      <c r="E70" s="2" t="s">
        <v>11</v>
      </c>
      <c r="F70" s="0" t="n">
        <v>90</v>
      </c>
      <c r="G70" s="2" t="s">
        <v>12</v>
      </c>
      <c r="H70" s="2" t="n">
        <f aca="false">SUMIF(data!A:A, A70, data!F:F)</f>
        <v>395</v>
      </c>
    </row>
    <row r="71" customFormat="false" ht="14.25" hidden="false" customHeight="false" outlineLevel="0" collapsed="false">
      <c r="A71" s="1" t="n">
        <v>46009</v>
      </c>
      <c r="B71" s="2" t="s">
        <v>24</v>
      </c>
      <c r="C71" s="2" t="s">
        <v>20</v>
      </c>
      <c r="D71" s="2" t="s">
        <v>10</v>
      </c>
      <c r="E71" s="2" t="s">
        <v>13</v>
      </c>
      <c r="F71" s="0" t="n">
        <v>95</v>
      </c>
      <c r="G71" s="2" t="s">
        <v>12</v>
      </c>
      <c r="H71" s="2" t="n">
        <f aca="false">SUMIF(data!A:A, A71, data!F:F)</f>
        <v>395</v>
      </c>
    </row>
    <row r="72" customFormat="false" ht="14.25" hidden="false" customHeight="false" outlineLevel="0" collapsed="false">
      <c r="A72" s="1" t="n">
        <v>46009</v>
      </c>
      <c r="B72" s="2" t="s">
        <v>24</v>
      </c>
      <c r="C72" s="2" t="s">
        <v>20</v>
      </c>
      <c r="D72" s="2" t="s">
        <v>16</v>
      </c>
      <c r="E72" s="2" t="s">
        <v>25</v>
      </c>
      <c r="F72" s="0" t="n">
        <v>210</v>
      </c>
      <c r="G72" s="2" t="s">
        <v>12</v>
      </c>
      <c r="H72" s="2" t="n">
        <f aca="false">SUMIF(data!A:A, A72, data!F:F)</f>
        <v>395</v>
      </c>
    </row>
    <row r="73" customFormat="false" ht="14.25" hidden="false" customHeight="false" outlineLevel="0" collapsed="false">
      <c r="A73" s="1" t="n">
        <v>46010</v>
      </c>
      <c r="B73" s="2" t="s">
        <v>26</v>
      </c>
      <c r="C73" s="2" t="s">
        <v>9</v>
      </c>
      <c r="D73" s="2" t="s">
        <v>10</v>
      </c>
      <c r="E73" s="2" t="s">
        <v>11</v>
      </c>
      <c r="F73" s="0" t="n">
        <v>75</v>
      </c>
      <c r="G73" s="2" t="s">
        <v>12</v>
      </c>
      <c r="H73" s="2" t="n">
        <f aca="false">SUMIF(data!A:A, A73, data!F:F)</f>
        <v>230</v>
      </c>
    </row>
    <row r="74" customFormat="false" ht="14.25" hidden="false" customHeight="false" outlineLevel="0" collapsed="false">
      <c r="A74" s="1" t="n">
        <v>46010</v>
      </c>
      <c r="B74" s="2" t="s">
        <v>26</v>
      </c>
      <c r="C74" s="2" t="s">
        <v>9</v>
      </c>
      <c r="D74" s="2" t="s">
        <v>10</v>
      </c>
      <c r="E74" s="2" t="s">
        <v>13</v>
      </c>
      <c r="F74" s="0" t="n">
        <v>85</v>
      </c>
      <c r="G74" s="2" t="s">
        <v>12</v>
      </c>
      <c r="H74" s="2" t="n">
        <f aca="false">SUMIF(data!A:A, A74, data!F:F)</f>
        <v>230</v>
      </c>
    </row>
    <row r="75" customFormat="false" ht="14.25" hidden="false" customHeight="false" outlineLevel="0" collapsed="false">
      <c r="A75" s="1" t="n">
        <v>46010</v>
      </c>
      <c r="B75" s="2" t="s">
        <v>26</v>
      </c>
      <c r="C75" s="2" t="s">
        <v>9</v>
      </c>
      <c r="D75" s="2" t="s">
        <v>10</v>
      </c>
      <c r="E75" s="2" t="s">
        <v>14</v>
      </c>
      <c r="F75" s="0" t="n">
        <v>30</v>
      </c>
      <c r="G75" s="2" t="s">
        <v>15</v>
      </c>
      <c r="H75" s="2" t="n">
        <f aca="false">SUMIF(data!A:A, A75, data!F:F)</f>
        <v>230</v>
      </c>
    </row>
    <row r="76" customFormat="false" ht="14.25" hidden="false" customHeight="false" outlineLevel="0" collapsed="false">
      <c r="A76" s="1" t="n">
        <v>46010</v>
      </c>
      <c r="B76" s="2" t="s">
        <v>26</v>
      </c>
      <c r="C76" s="2" t="s">
        <v>9</v>
      </c>
      <c r="D76" s="2" t="s">
        <v>16</v>
      </c>
      <c r="E76" s="2" t="s">
        <v>17</v>
      </c>
      <c r="F76" s="0" t="n">
        <v>40</v>
      </c>
      <c r="G76" s="2" t="s">
        <v>15</v>
      </c>
      <c r="H76" s="2" t="n">
        <f aca="false">SUMIF(data!A:A, A76, data!F:F)</f>
        <v>230</v>
      </c>
    </row>
    <row r="77" customFormat="false" ht="14.25" hidden="false" customHeight="false" outlineLevel="0" collapsed="false">
      <c r="A77" s="1" t="n">
        <v>46011</v>
      </c>
      <c r="B77" s="2" t="s">
        <v>29</v>
      </c>
      <c r="C77" s="2" t="s">
        <v>9</v>
      </c>
      <c r="D77" s="2" t="s">
        <v>10</v>
      </c>
      <c r="E77" s="2" t="s">
        <v>11</v>
      </c>
      <c r="F77" s="0" t="n">
        <v>80</v>
      </c>
      <c r="G77" s="2" t="s">
        <v>12</v>
      </c>
      <c r="H77" s="2" t="n">
        <f aca="false">SUMIF(data!A:A, A77, data!F:F)</f>
        <v>484</v>
      </c>
    </row>
    <row r="78" customFormat="false" ht="14.25" hidden="false" customHeight="false" outlineLevel="0" collapsed="false">
      <c r="A78" s="1" t="n">
        <v>46011</v>
      </c>
      <c r="B78" s="2" t="s">
        <v>29</v>
      </c>
      <c r="C78" s="2" t="s">
        <v>9</v>
      </c>
      <c r="D78" s="2" t="s">
        <v>10</v>
      </c>
      <c r="E78" s="2" t="s">
        <v>13</v>
      </c>
      <c r="F78" s="0" t="n">
        <v>90</v>
      </c>
      <c r="G78" s="2" t="s">
        <v>12</v>
      </c>
      <c r="H78" s="2" t="n">
        <f aca="false">SUMIF(data!A:A, A78, data!F:F)</f>
        <v>484</v>
      </c>
    </row>
    <row r="79" customFormat="false" ht="14.25" hidden="false" customHeight="false" outlineLevel="0" collapsed="false">
      <c r="A79" s="1" t="n">
        <v>46011</v>
      </c>
      <c r="B79" s="2" t="s">
        <v>29</v>
      </c>
      <c r="C79" s="2" t="s">
        <v>9</v>
      </c>
      <c r="D79" s="2" t="s">
        <v>10</v>
      </c>
      <c r="E79" s="2" t="s">
        <v>14</v>
      </c>
      <c r="F79" s="0" t="n">
        <v>35</v>
      </c>
      <c r="G79" s="2" t="s">
        <v>15</v>
      </c>
      <c r="H79" s="2" t="n">
        <f aca="false">SUMIF(data!A:A, A79, data!F:F)</f>
        <v>484</v>
      </c>
    </row>
    <row r="80" customFormat="false" ht="14.25" hidden="false" customHeight="false" outlineLevel="0" collapsed="false">
      <c r="A80" s="1" t="n">
        <v>46011</v>
      </c>
      <c r="B80" s="2" t="s">
        <v>29</v>
      </c>
      <c r="C80" s="2" t="s">
        <v>9</v>
      </c>
      <c r="D80" s="2" t="s">
        <v>16</v>
      </c>
      <c r="E80" s="2" t="s">
        <v>17</v>
      </c>
      <c r="F80" s="0" t="n">
        <v>40</v>
      </c>
      <c r="G80" s="2" t="s">
        <v>15</v>
      </c>
      <c r="H80" s="2" t="n">
        <f aca="false">SUMIF(data!A:A, A80, data!F:F)</f>
        <v>484</v>
      </c>
    </row>
    <row r="81" customFormat="false" ht="14.25" hidden="false" customHeight="false" outlineLevel="0" collapsed="false">
      <c r="A81" s="1" t="n">
        <v>46011</v>
      </c>
      <c r="B81" s="2" t="s">
        <v>29</v>
      </c>
      <c r="C81" s="2" t="s">
        <v>9</v>
      </c>
      <c r="D81" s="2" t="s">
        <v>36</v>
      </c>
      <c r="E81" s="2" t="s">
        <v>37</v>
      </c>
      <c r="F81" s="0" t="n">
        <v>239</v>
      </c>
      <c r="G81" s="2" t="s">
        <v>12</v>
      </c>
      <c r="H81" s="2" t="n">
        <f aca="false">SUMIF(data!A:A, A81, data!F:F)</f>
        <v>484</v>
      </c>
    </row>
    <row r="82" customFormat="false" ht="14.25" hidden="false" customHeight="false" outlineLevel="0" collapsed="false">
      <c r="A82" s="1" t="n">
        <v>46012</v>
      </c>
      <c r="B82" s="2" t="s">
        <v>30</v>
      </c>
      <c r="C82" s="2" t="s">
        <v>9</v>
      </c>
      <c r="D82" s="2" t="s">
        <v>10</v>
      </c>
      <c r="E82" s="2" t="s">
        <v>11</v>
      </c>
      <c r="F82" s="0" t="n">
        <v>85</v>
      </c>
      <c r="G82" s="2" t="s">
        <v>12</v>
      </c>
      <c r="H82" s="2" t="n">
        <f aca="false">SUMIF(data!A:A, A82, data!F:F)</f>
        <v>520</v>
      </c>
    </row>
    <row r="83" customFormat="false" ht="14.25" hidden="false" customHeight="false" outlineLevel="0" collapsed="false">
      <c r="A83" s="1" t="n">
        <v>46012</v>
      </c>
      <c r="B83" s="2" t="s">
        <v>30</v>
      </c>
      <c r="C83" s="2" t="s">
        <v>9</v>
      </c>
      <c r="D83" s="2" t="s">
        <v>10</v>
      </c>
      <c r="E83" s="2" t="s">
        <v>13</v>
      </c>
      <c r="F83" s="0" t="n">
        <v>95</v>
      </c>
      <c r="G83" s="2" t="s">
        <v>12</v>
      </c>
      <c r="H83" s="2" t="n">
        <f aca="false">SUMIF(data!A:A, A83, data!F:F)</f>
        <v>520</v>
      </c>
    </row>
    <row r="84" customFormat="false" ht="14.25" hidden="false" customHeight="false" outlineLevel="0" collapsed="false">
      <c r="A84" s="1" t="n">
        <v>46012</v>
      </c>
      <c r="B84" s="2" t="s">
        <v>30</v>
      </c>
      <c r="C84" s="2" t="s">
        <v>9</v>
      </c>
      <c r="D84" s="2" t="s">
        <v>10</v>
      </c>
      <c r="E84" s="2" t="s">
        <v>14</v>
      </c>
      <c r="F84" s="0" t="n">
        <v>40</v>
      </c>
      <c r="G84" s="2" t="s">
        <v>15</v>
      </c>
      <c r="H84" s="2" t="n">
        <f aca="false">SUMIF(data!A:A, A84, data!F:F)</f>
        <v>520</v>
      </c>
    </row>
    <row r="85" customFormat="false" ht="14.25" hidden="false" customHeight="false" outlineLevel="0" collapsed="false">
      <c r="A85" s="1" t="n">
        <v>46012</v>
      </c>
      <c r="B85" s="2" t="s">
        <v>30</v>
      </c>
      <c r="C85" s="2" t="s">
        <v>9</v>
      </c>
      <c r="D85" s="2" t="s">
        <v>16</v>
      </c>
      <c r="E85" s="2" t="s">
        <v>31</v>
      </c>
      <c r="F85" s="0" t="n">
        <v>300</v>
      </c>
      <c r="G85" s="2" t="s">
        <v>12</v>
      </c>
      <c r="H85" s="2" t="n">
        <f aca="false">SUMIF(data!A:A, A85, data!F:F)</f>
        <v>520</v>
      </c>
    </row>
    <row r="86" customFormat="false" ht="14.25" hidden="false" customHeight="false" outlineLevel="0" collapsed="false">
      <c r="A86" s="1" t="n">
        <v>46013</v>
      </c>
      <c r="B86" s="2" t="s">
        <v>8</v>
      </c>
      <c r="C86" s="2" t="s">
        <v>9</v>
      </c>
      <c r="D86" s="2" t="s">
        <v>10</v>
      </c>
      <c r="E86" s="2" t="s">
        <v>11</v>
      </c>
      <c r="F86" s="0" t="n">
        <v>90</v>
      </c>
      <c r="G86" s="2" t="s">
        <v>12</v>
      </c>
      <c r="H86" s="2" t="n">
        <f aca="false">SUMIF(data!A:A, A86, data!F:F)</f>
        <v>275</v>
      </c>
    </row>
    <row r="87" customFormat="false" ht="14.25" hidden="false" customHeight="false" outlineLevel="0" collapsed="false">
      <c r="A87" s="1" t="n">
        <v>46013</v>
      </c>
      <c r="B87" s="2" t="s">
        <v>8</v>
      </c>
      <c r="C87" s="2" t="s">
        <v>9</v>
      </c>
      <c r="D87" s="2" t="s">
        <v>10</v>
      </c>
      <c r="E87" s="2" t="s">
        <v>13</v>
      </c>
      <c r="F87" s="0" t="n">
        <v>100</v>
      </c>
      <c r="G87" s="2" t="s">
        <v>12</v>
      </c>
      <c r="H87" s="2" t="n">
        <f aca="false">SUMIF(data!A:A, A87, data!F:F)</f>
        <v>275</v>
      </c>
    </row>
    <row r="88" customFormat="false" ht="14.25" hidden="false" customHeight="false" outlineLevel="0" collapsed="false">
      <c r="A88" s="1" t="n">
        <v>46013</v>
      </c>
      <c r="B88" s="2" t="s">
        <v>8</v>
      </c>
      <c r="C88" s="2" t="s">
        <v>9</v>
      </c>
      <c r="D88" s="2" t="s">
        <v>10</v>
      </c>
      <c r="E88" s="2" t="s">
        <v>14</v>
      </c>
      <c r="F88" s="0" t="n">
        <v>45</v>
      </c>
      <c r="G88" s="2" t="s">
        <v>15</v>
      </c>
      <c r="H88" s="2" t="n">
        <f aca="false">SUMIF(data!A:A, A88, data!F:F)</f>
        <v>275</v>
      </c>
    </row>
    <row r="89" customFormat="false" ht="14.25" hidden="false" customHeight="false" outlineLevel="0" collapsed="false">
      <c r="A89" s="1" t="n">
        <v>46013</v>
      </c>
      <c r="B89" s="2" t="s">
        <v>8</v>
      </c>
      <c r="C89" s="2" t="s">
        <v>9</v>
      </c>
      <c r="D89" s="2" t="s">
        <v>16</v>
      </c>
      <c r="E89" s="2" t="s">
        <v>17</v>
      </c>
      <c r="F89" s="0" t="n">
        <v>40</v>
      </c>
      <c r="G89" s="2" t="s">
        <v>15</v>
      </c>
      <c r="H89" s="2" t="n">
        <f aca="false">SUMIF(data!A:A, A89, data!F:F)</f>
        <v>275</v>
      </c>
    </row>
    <row r="90" customFormat="false" ht="14.25" hidden="false" customHeight="false" outlineLevel="0" collapsed="false">
      <c r="A90" s="1" t="n">
        <v>46014</v>
      </c>
      <c r="B90" s="2" t="s">
        <v>18</v>
      </c>
      <c r="C90" s="2" t="s">
        <v>9</v>
      </c>
      <c r="D90" s="2" t="s">
        <v>10</v>
      </c>
      <c r="E90" s="2" t="s">
        <v>11</v>
      </c>
      <c r="F90" s="0" t="n">
        <v>80</v>
      </c>
      <c r="G90" s="2" t="s">
        <v>12</v>
      </c>
      <c r="H90" s="2" t="n">
        <f aca="false">SUMIF(data!A:A, A90, data!F:F)</f>
        <v>245</v>
      </c>
    </row>
    <row r="91" customFormat="false" ht="14.25" hidden="false" customHeight="false" outlineLevel="0" collapsed="false">
      <c r="A91" s="1" t="n">
        <v>46014</v>
      </c>
      <c r="B91" s="2" t="s">
        <v>18</v>
      </c>
      <c r="C91" s="2" t="s">
        <v>9</v>
      </c>
      <c r="D91" s="2" t="s">
        <v>10</v>
      </c>
      <c r="E91" s="2" t="s">
        <v>13</v>
      </c>
      <c r="F91" s="0" t="n">
        <v>90</v>
      </c>
      <c r="G91" s="2" t="s">
        <v>12</v>
      </c>
      <c r="H91" s="2" t="n">
        <f aca="false">SUMIF(data!A:A, A91, data!F:F)</f>
        <v>245</v>
      </c>
    </row>
    <row r="92" customFormat="false" ht="14.25" hidden="false" customHeight="false" outlineLevel="0" collapsed="false">
      <c r="A92" s="1" t="n">
        <v>46014</v>
      </c>
      <c r="B92" s="2" t="s">
        <v>18</v>
      </c>
      <c r="C92" s="2" t="s">
        <v>9</v>
      </c>
      <c r="D92" s="2" t="s">
        <v>10</v>
      </c>
      <c r="E92" s="2" t="s">
        <v>14</v>
      </c>
      <c r="F92" s="0" t="n">
        <v>35</v>
      </c>
      <c r="G92" s="2" t="s">
        <v>15</v>
      </c>
      <c r="H92" s="2" t="n">
        <f aca="false">SUMIF(data!A:A, A92, data!F:F)</f>
        <v>245</v>
      </c>
    </row>
    <row r="93" customFormat="false" ht="14.25" hidden="false" customHeight="false" outlineLevel="0" collapsed="false">
      <c r="A93" s="1" t="n">
        <v>46014</v>
      </c>
      <c r="B93" s="2" t="s">
        <v>18</v>
      </c>
      <c r="C93" s="2" t="s">
        <v>9</v>
      </c>
      <c r="D93" s="2" t="s">
        <v>16</v>
      </c>
      <c r="E93" s="2" t="s">
        <v>17</v>
      </c>
      <c r="F93" s="0" t="n">
        <v>40</v>
      </c>
      <c r="G93" s="2" t="s">
        <v>15</v>
      </c>
      <c r="H93" s="2" t="n">
        <f aca="false">SUMIF(data!A:A, A93, data!F:F)</f>
        <v>245</v>
      </c>
    </row>
    <row r="94" customFormat="false" ht="14.25" hidden="false" customHeight="false" outlineLevel="0" collapsed="false">
      <c r="A94" s="1" t="n">
        <v>46015</v>
      </c>
      <c r="B94" s="2" t="s">
        <v>19</v>
      </c>
      <c r="C94" s="2" t="s">
        <v>20</v>
      </c>
      <c r="D94" s="2" t="s">
        <v>10</v>
      </c>
      <c r="E94" s="2" t="s">
        <v>11</v>
      </c>
      <c r="F94" s="0" t="n">
        <v>95</v>
      </c>
      <c r="G94" s="2" t="s">
        <v>12</v>
      </c>
      <c r="H94" s="2" t="n">
        <f aca="false">SUMIF(data!A:A, A94, data!F:F)</f>
        <v>2090</v>
      </c>
    </row>
    <row r="95" customFormat="false" ht="14.25" hidden="false" customHeight="false" outlineLevel="0" collapsed="false">
      <c r="A95" s="1" t="n">
        <v>46015</v>
      </c>
      <c r="B95" s="2" t="s">
        <v>19</v>
      </c>
      <c r="C95" s="2" t="s">
        <v>20</v>
      </c>
      <c r="D95" s="2" t="s">
        <v>10</v>
      </c>
      <c r="E95" s="2" t="s">
        <v>13</v>
      </c>
      <c r="F95" s="0" t="n">
        <v>100</v>
      </c>
      <c r="G95" s="2" t="s">
        <v>12</v>
      </c>
      <c r="H95" s="2" t="n">
        <f aca="false">SUMIF(data!A:A, A95, data!F:F)</f>
        <v>2090</v>
      </c>
    </row>
    <row r="96" customFormat="false" ht="14.25" hidden="false" customHeight="false" outlineLevel="0" collapsed="false">
      <c r="A96" s="1" t="n">
        <v>46015</v>
      </c>
      <c r="B96" s="2" t="s">
        <v>19</v>
      </c>
      <c r="C96" s="2" t="s">
        <v>20</v>
      </c>
      <c r="D96" s="2" t="s">
        <v>16</v>
      </c>
      <c r="E96" s="2" t="s">
        <v>21</v>
      </c>
      <c r="F96" s="0" t="n">
        <v>95</v>
      </c>
      <c r="G96" s="2" t="s">
        <v>15</v>
      </c>
      <c r="H96" s="2" t="n">
        <f aca="false">SUMIF(data!A:A, A96, data!F:F)</f>
        <v>2090</v>
      </c>
    </row>
    <row r="97" customFormat="false" ht="14.25" hidden="false" customHeight="false" outlineLevel="0" collapsed="false">
      <c r="A97" s="1" t="n">
        <v>46015</v>
      </c>
      <c r="B97" s="2" t="s">
        <v>19</v>
      </c>
      <c r="C97" s="2" t="s">
        <v>20</v>
      </c>
      <c r="D97" s="2" t="s">
        <v>32</v>
      </c>
      <c r="E97" s="2" t="s">
        <v>38</v>
      </c>
      <c r="F97" s="0" t="n">
        <v>1800</v>
      </c>
      <c r="G97" s="2" t="s">
        <v>12</v>
      </c>
      <c r="H97" s="2" t="n">
        <f aca="false">SUMIF(data!A:A, A97, data!F:F)</f>
        <v>2090</v>
      </c>
    </row>
    <row r="98" customFormat="false" ht="14.25" hidden="false" customHeight="false" outlineLevel="0" collapsed="false">
      <c r="A98" s="1" t="n">
        <v>46016</v>
      </c>
      <c r="B98" s="2" t="s">
        <v>24</v>
      </c>
      <c r="C98" s="2" t="s">
        <v>20</v>
      </c>
      <c r="D98" s="2" t="s">
        <v>10</v>
      </c>
      <c r="E98" s="2" t="s">
        <v>11</v>
      </c>
      <c r="F98" s="0" t="n">
        <v>90</v>
      </c>
      <c r="G98" s="2" t="s">
        <v>12</v>
      </c>
      <c r="H98" s="2" t="n">
        <f aca="false">SUMIF(data!A:A, A98, data!F:F)</f>
        <v>385</v>
      </c>
    </row>
    <row r="99" customFormat="false" ht="14.25" hidden="false" customHeight="false" outlineLevel="0" collapsed="false">
      <c r="A99" s="1" t="n">
        <v>46016</v>
      </c>
      <c r="B99" s="2" t="s">
        <v>24</v>
      </c>
      <c r="C99" s="2" t="s">
        <v>20</v>
      </c>
      <c r="D99" s="2" t="s">
        <v>10</v>
      </c>
      <c r="E99" s="2" t="s">
        <v>13</v>
      </c>
      <c r="F99" s="0" t="n">
        <v>95</v>
      </c>
      <c r="G99" s="2" t="s">
        <v>12</v>
      </c>
      <c r="H99" s="2" t="n">
        <f aca="false">SUMIF(data!A:A, A99, data!F:F)</f>
        <v>385</v>
      </c>
    </row>
    <row r="100" customFormat="false" ht="14.25" hidden="false" customHeight="false" outlineLevel="0" collapsed="false">
      <c r="A100" s="1" t="n">
        <v>46016</v>
      </c>
      <c r="B100" s="2" t="s">
        <v>24</v>
      </c>
      <c r="C100" s="2" t="s">
        <v>20</v>
      </c>
      <c r="D100" s="2" t="s">
        <v>16</v>
      </c>
      <c r="E100" s="2" t="s">
        <v>25</v>
      </c>
      <c r="F100" s="0" t="n">
        <v>200</v>
      </c>
      <c r="G100" s="2" t="s">
        <v>12</v>
      </c>
      <c r="H100" s="2" t="n">
        <f aca="false">SUMIF(data!A:A, A100, data!F:F)</f>
        <v>385</v>
      </c>
    </row>
    <row r="101" customFormat="false" ht="14.25" hidden="false" customHeight="false" outlineLevel="0" collapsed="false">
      <c r="A101" s="1" t="n">
        <v>46017</v>
      </c>
      <c r="B101" s="2" t="s">
        <v>26</v>
      </c>
      <c r="C101" s="2" t="s">
        <v>9</v>
      </c>
      <c r="D101" s="2" t="s">
        <v>10</v>
      </c>
      <c r="E101" s="2" t="s">
        <v>11</v>
      </c>
      <c r="F101" s="0" t="n">
        <v>75</v>
      </c>
      <c r="G101" s="2" t="s">
        <v>12</v>
      </c>
      <c r="H101" s="2" t="n">
        <f aca="false">SUMIF(data!A:A, A112, data!F:F)</f>
        <v>520</v>
      </c>
    </row>
    <row r="102" customFormat="false" ht="14.25" hidden="false" customHeight="false" outlineLevel="0" collapsed="false">
      <c r="A102" s="1" t="n">
        <v>46017</v>
      </c>
      <c r="B102" s="2" t="s">
        <v>26</v>
      </c>
      <c r="C102" s="2" t="s">
        <v>9</v>
      </c>
      <c r="D102" s="2" t="s">
        <v>10</v>
      </c>
      <c r="E102" s="2" t="s">
        <v>13</v>
      </c>
      <c r="F102" s="0" t="n">
        <v>85</v>
      </c>
      <c r="G102" s="2" t="s">
        <v>12</v>
      </c>
      <c r="H102" s="2" t="n">
        <f aca="false">SUMIF(data!A:A, A102, data!F:F)</f>
        <v>230</v>
      </c>
    </row>
    <row r="103" customFormat="false" ht="14.25" hidden="false" customHeight="false" outlineLevel="0" collapsed="false">
      <c r="A103" s="1" t="n">
        <v>46017</v>
      </c>
      <c r="B103" s="2" t="s">
        <v>26</v>
      </c>
      <c r="C103" s="2" t="s">
        <v>9</v>
      </c>
      <c r="D103" s="2" t="s">
        <v>10</v>
      </c>
      <c r="E103" s="2" t="s">
        <v>14</v>
      </c>
      <c r="F103" s="0" t="n">
        <v>30</v>
      </c>
      <c r="G103" s="2" t="s">
        <v>15</v>
      </c>
      <c r="H103" s="2" t="n">
        <f aca="false">SUMIF(data!A:A, A103, data!F:F)</f>
        <v>230</v>
      </c>
    </row>
    <row r="104" customFormat="false" ht="14.25" hidden="false" customHeight="false" outlineLevel="0" collapsed="false">
      <c r="A104" s="1" t="n">
        <v>46017</v>
      </c>
      <c r="B104" s="2" t="s">
        <v>26</v>
      </c>
      <c r="C104" s="2" t="s">
        <v>9</v>
      </c>
      <c r="D104" s="2" t="s">
        <v>16</v>
      </c>
      <c r="E104" s="2" t="s">
        <v>17</v>
      </c>
      <c r="F104" s="0" t="n">
        <v>40</v>
      </c>
      <c r="G104" s="2" t="s">
        <v>15</v>
      </c>
      <c r="H104" s="2" t="n">
        <f aca="false">SUMIF(data!A:A, A104, data!F:F)</f>
        <v>230</v>
      </c>
    </row>
    <row r="105" customFormat="false" ht="14.25" hidden="false" customHeight="false" outlineLevel="0" collapsed="false">
      <c r="A105" s="1" t="n">
        <v>46018</v>
      </c>
      <c r="B105" s="2" t="s">
        <v>29</v>
      </c>
      <c r="C105" s="2" t="s">
        <v>9</v>
      </c>
      <c r="D105" s="2" t="s">
        <v>10</v>
      </c>
      <c r="E105" s="2" t="s">
        <v>11</v>
      </c>
      <c r="F105" s="0" t="n">
        <v>80</v>
      </c>
      <c r="G105" s="2" t="s">
        <v>12</v>
      </c>
      <c r="H105" s="2" t="n">
        <f aca="false">SUMIF(data!A:A, A105, data!F:F)</f>
        <v>245</v>
      </c>
    </row>
    <row r="106" customFormat="false" ht="14.25" hidden="false" customHeight="false" outlineLevel="0" collapsed="false">
      <c r="A106" s="1" t="n">
        <v>46018</v>
      </c>
      <c r="B106" s="2" t="s">
        <v>29</v>
      </c>
      <c r="C106" s="2" t="s">
        <v>9</v>
      </c>
      <c r="D106" s="2" t="s">
        <v>10</v>
      </c>
      <c r="E106" s="2" t="s">
        <v>13</v>
      </c>
      <c r="F106" s="0" t="n">
        <v>90</v>
      </c>
      <c r="G106" s="2" t="s">
        <v>12</v>
      </c>
      <c r="H106" s="2" t="n">
        <f aca="false">SUMIF(data!A:A, A106, data!F:F)</f>
        <v>245</v>
      </c>
    </row>
    <row r="107" customFormat="false" ht="14.25" hidden="false" customHeight="false" outlineLevel="0" collapsed="false">
      <c r="A107" s="1" t="n">
        <v>46018</v>
      </c>
      <c r="B107" s="2" t="s">
        <v>29</v>
      </c>
      <c r="C107" s="2" t="s">
        <v>9</v>
      </c>
      <c r="D107" s="2" t="s">
        <v>10</v>
      </c>
      <c r="E107" s="2" t="s">
        <v>14</v>
      </c>
      <c r="F107" s="0" t="n">
        <v>35</v>
      </c>
      <c r="G107" s="2" t="s">
        <v>15</v>
      </c>
      <c r="H107" s="2" t="n">
        <f aca="false">SUMIF(data!A:A, A107, data!F:F)</f>
        <v>245</v>
      </c>
    </row>
    <row r="108" customFormat="false" ht="14.25" hidden="false" customHeight="false" outlineLevel="0" collapsed="false">
      <c r="A108" s="1" t="n">
        <v>46018</v>
      </c>
      <c r="B108" s="2" t="s">
        <v>29</v>
      </c>
      <c r="C108" s="2" t="s">
        <v>9</v>
      </c>
      <c r="D108" s="2" t="s">
        <v>16</v>
      </c>
      <c r="E108" s="2" t="s">
        <v>17</v>
      </c>
      <c r="F108" s="0" t="n">
        <v>40</v>
      </c>
      <c r="G108" s="2" t="s">
        <v>15</v>
      </c>
      <c r="H108" s="2" t="n">
        <f aca="false">SUMIF(data!A:A, A108, data!F:F)</f>
        <v>245</v>
      </c>
    </row>
    <row r="109" customFormat="false" ht="14.25" hidden="false" customHeight="false" outlineLevel="0" collapsed="false">
      <c r="A109" s="1" t="n">
        <v>46019</v>
      </c>
      <c r="B109" s="2" t="s">
        <v>30</v>
      </c>
      <c r="C109" s="2" t="s">
        <v>9</v>
      </c>
      <c r="D109" s="2" t="s">
        <v>10</v>
      </c>
      <c r="E109" s="2" t="s">
        <v>11</v>
      </c>
      <c r="F109" s="0" t="n">
        <v>85</v>
      </c>
      <c r="G109" s="2" t="s">
        <v>12</v>
      </c>
      <c r="H109" s="2" t="n">
        <f aca="false">SUMIF(data!A:A, A109, data!F:F)</f>
        <v>520</v>
      </c>
    </row>
    <row r="110" customFormat="false" ht="14.25" hidden="false" customHeight="false" outlineLevel="0" collapsed="false">
      <c r="A110" s="1" t="n">
        <v>46019</v>
      </c>
      <c r="B110" s="2" t="s">
        <v>30</v>
      </c>
      <c r="C110" s="2" t="s">
        <v>9</v>
      </c>
      <c r="D110" s="2" t="s">
        <v>10</v>
      </c>
      <c r="E110" s="2" t="s">
        <v>13</v>
      </c>
      <c r="F110" s="0" t="n">
        <v>95</v>
      </c>
      <c r="G110" s="2" t="s">
        <v>12</v>
      </c>
      <c r="H110" s="2" t="n">
        <f aca="false">SUMIF(data!A:A, A110, data!F:F)</f>
        <v>520</v>
      </c>
    </row>
    <row r="111" customFormat="false" ht="14.25" hidden="false" customHeight="false" outlineLevel="0" collapsed="false">
      <c r="A111" s="1" t="n">
        <v>46019</v>
      </c>
      <c r="B111" s="2" t="s">
        <v>30</v>
      </c>
      <c r="C111" s="2" t="s">
        <v>9</v>
      </c>
      <c r="D111" s="2" t="s">
        <v>10</v>
      </c>
      <c r="E111" s="2" t="s">
        <v>14</v>
      </c>
      <c r="F111" s="0" t="n">
        <v>40</v>
      </c>
      <c r="G111" s="2" t="s">
        <v>15</v>
      </c>
      <c r="H111" s="2" t="n">
        <f aca="false">SUMIF(data!A:A, A111, data!F:F)</f>
        <v>520</v>
      </c>
    </row>
    <row r="112" customFormat="false" ht="14.25" hidden="false" customHeight="false" outlineLevel="0" collapsed="false">
      <c r="A112" s="1" t="n">
        <v>46019</v>
      </c>
      <c r="B112" s="2" t="s">
        <v>30</v>
      </c>
      <c r="C112" s="2" t="s">
        <v>9</v>
      </c>
      <c r="D112" s="2" t="s">
        <v>16</v>
      </c>
      <c r="E112" s="2" t="s">
        <v>31</v>
      </c>
      <c r="F112" s="0" t="n">
        <v>300</v>
      </c>
      <c r="G112" s="2" t="s">
        <v>12</v>
      </c>
      <c r="H112" s="2" t="n">
        <f aca="false">SUMIF(data!A:A, A112, data!F:F)</f>
        <v>520</v>
      </c>
    </row>
    <row r="113" customFormat="false" ht="14.25" hidden="false" customHeight="false" outlineLevel="0" collapsed="false">
      <c r="A113" s="1" t="n">
        <v>46020</v>
      </c>
      <c r="B113" s="2" t="s">
        <v>8</v>
      </c>
      <c r="C113" s="2" t="s">
        <v>9</v>
      </c>
      <c r="D113" s="2" t="s">
        <v>10</v>
      </c>
      <c r="E113" s="2" t="s">
        <v>11</v>
      </c>
      <c r="F113" s="0" t="n">
        <v>90</v>
      </c>
      <c r="G113" s="2" t="s">
        <v>12</v>
      </c>
      <c r="H113" s="2" t="n">
        <f aca="false">SUMIF(data!A:A, A113, data!F:F)</f>
        <v>275</v>
      </c>
    </row>
    <row r="114" customFormat="false" ht="14.25" hidden="false" customHeight="false" outlineLevel="0" collapsed="false">
      <c r="A114" s="1" t="n">
        <v>46020</v>
      </c>
      <c r="B114" s="2" t="s">
        <v>8</v>
      </c>
      <c r="C114" s="2" t="s">
        <v>9</v>
      </c>
      <c r="D114" s="2" t="s">
        <v>10</v>
      </c>
      <c r="E114" s="2" t="s">
        <v>13</v>
      </c>
      <c r="F114" s="0" t="n">
        <v>100</v>
      </c>
      <c r="G114" s="2" t="s">
        <v>12</v>
      </c>
      <c r="H114" s="2" t="n">
        <f aca="false">SUMIF(data!A:A, A114, data!F:F)</f>
        <v>275</v>
      </c>
    </row>
    <row r="115" customFormat="false" ht="14.25" hidden="false" customHeight="false" outlineLevel="0" collapsed="false">
      <c r="A115" s="1" t="n">
        <v>46020</v>
      </c>
      <c r="B115" s="2" t="s">
        <v>8</v>
      </c>
      <c r="C115" s="2" t="s">
        <v>9</v>
      </c>
      <c r="D115" s="2" t="s">
        <v>10</v>
      </c>
      <c r="E115" s="2" t="s">
        <v>14</v>
      </c>
      <c r="F115" s="0" t="n">
        <v>45</v>
      </c>
      <c r="G115" s="2" t="s">
        <v>15</v>
      </c>
      <c r="H115" s="2" t="n">
        <f aca="false">SUMIF(data!A:A, A115, data!F:F)</f>
        <v>275</v>
      </c>
    </row>
    <row r="116" customFormat="false" ht="14.25" hidden="false" customHeight="false" outlineLevel="0" collapsed="false">
      <c r="A116" s="1" t="n">
        <v>46020</v>
      </c>
      <c r="B116" s="2" t="s">
        <v>8</v>
      </c>
      <c r="C116" s="2" t="s">
        <v>9</v>
      </c>
      <c r="D116" s="2" t="s">
        <v>16</v>
      </c>
      <c r="E116" s="2" t="s">
        <v>17</v>
      </c>
      <c r="F116" s="0" t="n">
        <v>40</v>
      </c>
      <c r="G116" s="2" t="s">
        <v>15</v>
      </c>
      <c r="H116" s="2" t="n">
        <f aca="false">SUMIF(data!A:A, A116, data!F:F)</f>
        <v>275</v>
      </c>
    </row>
    <row r="117" customFormat="false" ht="14.25" hidden="false" customHeight="false" outlineLevel="0" collapsed="false">
      <c r="A117" s="1" t="n">
        <v>46021</v>
      </c>
      <c r="B117" s="2" t="s">
        <v>18</v>
      </c>
      <c r="C117" s="2" t="s">
        <v>9</v>
      </c>
      <c r="D117" s="2" t="s">
        <v>10</v>
      </c>
      <c r="E117" s="2" t="s">
        <v>11</v>
      </c>
      <c r="F117" s="0" t="n">
        <v>80</v>
      </c>
      <c r="G117" s="2" t="s">
        <v>12</v>
      </c>
      <c r="H117" s="2" t="n">
        <f aca="false">SUMIF(data!A:A, A117, data!F:F)</f>
        <v>245</v>
      </c>
    </row>
    <row r="118" customFormat="false" ht="14.25" hidden="false" customHeight="false" outlineLevel="0" collapsed="false">
      <c r="A118" s="1" t="n">
        <v>46021</v>
      </c>
      <c r="B118" s="2" t="s">
        <v>18</v>
      </c>
      <c r="C118" s="2" t="s">
        <v>9</v>
      </c>
      <c r="D118" s="2" t="s">
        <v>10</v>
      </c>
      <c r="E118" s="2" t="s">
        <v>13</v>
      </c>
      <c r="F118" s="0" t="n">
        <v>90</v>
      </c>
      <c r="G118" s="2" t="s">
        <v>12</v>
      </c>
      <c r="H118" s="2" t="n">
        <f aca="false">SUMIF(data!A:A, A118, data!F:F)</f>
        <v>245</v>
      </c>
    </row>
    <row r="119" customFormat="false" ht="14.25" hidden="false" customHeight="false" outlineLevel="0" collapsed="false">
      <c r="A119" s="1" t="n">
        <v>46021</v>
      </c>
      <c r="B119" s="2" t="s">
        <v>18</v>
      </c>
      <c r="C119" s="2" t="s">
        <v>9</v>
      </c>
      <c r="D119" s="2" t="s">
        <v>10</v>
      </c>
      <c r="E119" s="2" t="s">
        <v>14</v>
      </c>
      <c r="F119" s="0" t="n">
        <v>35</v>
      </c>
      <c r="G119" s="2" t="s">
        <v>15</v>
      </c>
      <c r="H119" s="2" t="n">
        <f aca="false">SUMIF(data!A:A, A119, data!F:F)</f>
        <v>245</v>
      </c>
    </row>
    <row r="120" customFormat="false" ht="14.25" hidden="false" customHeight="false" outlineLevel="0" collapsed="false">
      <c r="A120" s="1" t="n">
        <v>46021</v>
      </c>
      <c r="B120" s="2" t="s">
        <v>18</v>
      </c>
      <c r="C120" s="2" t="s">
        <v>9</v>
      </c>
      <c r="D120" s="2" t="s">
        <v>16</v>
      </c>
      <c r="E120" s="2" t="s">
        <v>17</v>
      </c>
      <c r="F120" s="0" t="n">
        <v>40</v>
      </c>
      <c r="G120" s="2" t="s">
        <v>15</v>
      </c>
      <c r="H120" s="2" t="n">
        <f aca="false">SUMIF(data!A:A, A120, data!F:F)</f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E24" activeCellId="0" sqref="E2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0.44"/>
    <col collapsed="false" customWidth="true" hidden="false" outlineLevel="0" max="2" min="2" style="0" width="10.33"/>
    <col collapsed="false" customWidth="true" hidden="false" outlineLevel="0" max="4" min="4" style="0" width="13.11"/>
    <col collapsed="false" customWidth="true" hidden="false" outlineLevel="0" max="5" min="5" style="0" width="16"/>
    <col collapsed="false" customWidth="true" hidden="false" outlineLevel="0" max="7" min="7" style="0" width="13.67"/>
    <col collapsed="false" customWidth="true" hidden="false" outlineLevel="0" max="8" min="8" style="0" width="16"/>
  </cols>
  <sheetData>
    <row r="1" customFormat="false" ht="14.25" hidden="false" customHeight="false" outlineLevel="0" collapsed="false">
      <c r="A1" s="1" t="str">
        <f aca="false">data!A1</f>
        <v>DATE</v>
      </c>
      <c r="B1" s="2" t="s">
        <v>39</v>
      </c>
    </row>
    <row r="2" customFormat="false" ht="14.25" hidden="false" customHeight="false" outlineLevel="0" collapsed="false">
      <c r="A2" s="1" t="n">
        <f aca="false">data!A2</f>
        <v>45992</v>
      </c>
      <c r="B2" s="3" t="n">
        <f aca="false">SUMIF(data!A:A, A2, data!F:F)</f>
        <v>255</v>
      </c>
      <c r="D2" s="4" t="s">
        <v>2</v>
      </c>
      <c r="E2" s="5" t="s">
        <v>40</v>
      </c>
      <c r="G2" s="4" t="s">
        <v>3</v>
      </c>
      <c r="H2" s="5" t="s">
        <v>40</v>
      </c>
    </row>
    <row r="3" customFormat="false" ht="14.25" hidden="false" customHeight="false" outlineLevel="0" collapsed="false">
      <c r="A3" s="1" t="n">
        <f aca="false">data!A6</f>
        <v>45993</v>
      </c>
      <c r="B3" s="3" t="n">
        <f aca="false">SUMIF(data!A:A, A3, data!F:F)</f>
        <v>250</v>
      </c>
      <c r="D3" s="6" t="s">
        <v>9</v>
      </c>
      <c r="E3" s="7" t="n">
        <v>9453</v>
      </c>
      <c r="G3" s="6" t="s">
        <v>27</v>
      </c>
      <c r="H3" s="7" t="n">
        <v>1449</v>
      </c>
    </row>
    <row r="4" customFormat="false" ht="14.25" hidden="false" customHeight="false" outlineLevel="0" collapsed="false">
      <c r="A4" s="1" t="n">
        <f aca="false">data!A10</f>
        <v>45994</v>
      </c>
      <c r="B4" s="3" t="n">
        <f aca="false">SUMIF(data!A:A, A4, data!F:F)</f>
        <v>530</v>
      </c>
      <c r="D4" s="8" t="s">
        <v>20</v>
      </c>
      <c r="E4" s="9" t="n">
        <v>5080</v>
      </c>
      <c r="G4" s="8" t="s">
        <v>22</v>
      </c>
      <c r="H4" s="10" t="n">
        <v>550</v>
      </c>
    </row>
    <row r="5" customFormat="false" ht="14.25" hidden="false" customHeight="false" outlineLevel="0" collapsed="false">
      <c r="A5" s="1" t="n">
        <f aca="false">data!A14</f>
        <v>45995</v>
      </c>
      <c r="B5" s="3" t="n">
        <f aca="false">SUMIF(data!A:A, A5, data!F:F)</f>
        <v>395</v>
      </c>
      <c r="D5" s="11" t="s">
        <v>41</v>
      </c>
      <c r="E5" s="12" t="n">
        <v>14533</v>
      </c>
      <c r="G5" s="8" t="s">
        <v>10</v>
      </c>
      <c r="H5" s="10" t="n">
        <v>6170</v>
      </c>
    </row>
    <row r="6" customFormat="false" ht="14.25" hidden="false" customHeight="false" outlineLevel="0" collapsed="false">
      <c r="A6" s="1" t="n">
        <f aca="false">data!A17</f>
        <v>45996</v>
      </c>
      <c r="B6" s="3" t="n">
        <f aca="false">SUMIF(data!A:A, A6, data!F:F)</f>
        <v>680</v>
      </c>
      <c r="G6" s="8" t="s">
        <v>36</v>
      </c>
      <c r="H6" s="10" t="n">
        <v>239</v>
      </c>
    </row>
    <row r="7" customFormat="false" ht="14.25" hidden="false" customHeight="false" outlineLevel="0" collapsed="false">
      <c r="A7" s="1" t="n">
        <f aca="false">data!A22</f>
        <v>45997</v>
      </c>
      <c r="B7" s="3" t="n">
        <f aca="false">SUMIF(data!A:A, A7, data!F:F)</f>
        <v>245</v>
      </c>
      <c r="G7" s="8" t="s">
        <v>32</v>
      </c>
      <c r="H7" s="10" t="n">
        <v>3000</v>
      </c>
    </row>
    <row r="8" customFormat="false" ht="14.25" hidden="false" customHeight="false" outlineLevel="0" collapsed="false">
      <c r="A8" s="1" t="n">
        <f aca="false">data!A26</f>
        <v>45998</v>
      </c>
      <c r="B8" s="3" t="n">
        <f aca="false">SUMIF(data!A:A, A8, data!F:F)</f>
        <v>520</v>
      </c>
      <c r="G8" s="8" t="s">
        <v>16</v>
      </c>
      <c r="H8" s="9" t="n">
        <v>3125</v>
      </c>
    </row>
    <row r="9" customFormat="false" ht="14.25" hidden="false" customHeight="false" outlineLevel="0" collapsed="false">
      <c r="A9" s="1" t="n">
        <f aca="false">data!A30</f>
        <v>45999</v>
      </c>
      <c r="B9" s="3" t="n">
        <f aca="false">SUMIF(data!A:A, A9, data!F:F)</f>
        <v>275</v>
      </c>
      <c r="G9" s="11" t="s">
        <v>41</v>
      </c>
      <c r="H9" s="12" t="n">
        <v>14533</v>
      </c>
    </row>
    <row r="10" customFormat="false" ht="14.25" hidden="false" customHeight="false" outlineLevel="0" collapsed="false">
      <c r="A10" s="1" t="n">
        <f aca="false">data!A34</f>
        <v>46000</v>
      </c>
      <c r="B10" s="3" t="n">
        <f aca="false">SUMIF(data!A:A, A10, data!F:F)</f>
        <v>1445</v>
      </c>
    </row>
    <row r="11" customFormat="false" ht="14.25" hidden="false" customHeight="false" outlineLevel="0" collapsed="false">
      <c r="A11" s="1" t="n">
        <f aca="false">data!A39</f>
        <v>46001</v>
      </c>
      <c r="B11" s="3" t="n">
        <f aca="false">SUMIF(data!A:A, A11, data!F:F)</f>
        <v>295</v>
      </c>
    </row>
    <row r="12" customFormat="false" ht="14.25" hidden="false" customHeight="false" outlineLevel="0" collapsed="false">
      <c r="A12" s="1" t="n">
        <f aca="false">data!A42</f>
        <v>46002</v>
      </c>
      <c r="B12" s="3" t="n">
        <f aca="false">SUMIF(data!A:A, A12, data!F:F)</f>
        <v>395</v>
      </c>
    </row>
    <row r="13" customFormat="false" ht="14.25" hidden="false" customHeight="false" outlineLevel="0" collapsed="false">
      <c r="A13" s="1" t="n">
        <f aca="false">data!A45</f>
        <v>46003</v>
      </c>
      <c r="B13" s="3" t="n">
        <f aca="false">SUMIF(data!A:A, A13, data!F:F)</f>
        <v>230</v>
      </c>
    </row>
    <row r="14" customFormat="false" ht="14.25" hidden="false" customHeight="false" outlineLevel="0" collapsed="false">
      <c r="A14" s="1" t="n">
        <f aca="false">data!A49</f>
        <v>46004</v>
      </c>
      <c r="B14" s="3" t="n">
        <f aca="false">SUMIF(data!A:A, A14, data!F:F)</f>
        <v>245</v>
      </c>
    </row>
    <row r="15" customFormat="false" ht="14.25" hidden="false" customHeight="false" outlineLevel="0" collapsed="false">
      <c r="A15" s="1" t="n">
        <f aca="false">data!A53</f>
        <v>46005</v>
      </c>
      <c r="B15" s="3" t="n">
        <f aca="false">SUMIF(data!A:A, A15, data!F:F)</f>
        <v>520</v>
      </c>
    </row>
    <row r="16" customFormat="false" ht="14.25" hidden="false" customHeight="false" outlineLevel="0" collapsed="false">
      <c r="A16" s="1" t="n">
        <f aca="false">data!A57</f>
        <v>46006</v>
      </c>
      <c r="B16" s="3" t="n">
        <f aca="false">SUMIF(data!A:A, A16, data!F:F)</f>
        <v>1274</v>
      </c>
    </row>
    <row r="17" customFormat="false" ht="14.25" hidden="false" customHeight="false" outlineLevel="0" collapsed="false">
      <c r="A17" s="1" t="n">
        <f aca="false">data!A62</f>
        <v>46007</v>
      </c>
      <c r="B17" s="3" t="n">
        <f aca="false">SUMIF(data!A:A, A17, data!F:F)</f>
        <v>245</v>
      </c>
    </row>
    <row r="18" customFormat="false" ht="14.25" hidden="false" customHeight="false" outlineLevel="0" collapsed="false">
      <c r="A18" s="1" t="n">
        <f aca="false">data!A66</f>
        <v>46008</v>
      </c>
      <c r="B18" s="3" t="n">
        <f aca="false">SUMIF(data!A:A, A18, data!F:F)</f>
        <v>595</v>
      </c>
    </row>
    <row r="19" customFormat="false" ht="14.25" hidden="false" customHeight="false" outlineLevel="0" collapsed="false">
      <c r="A19" s="1" t="n">
        <f aca="false">data!A70</f>
        <v>46009</v>
      </c>
      <c r="B19" s="3" t="n">
        <f aca="false">SUMIF(data!A:A, A19, data!F:F)</f>
        <v>395</v>
      </c>
    </row>
    <row r="20" customFormat="false" ht="14.25" hidden="false" customHeight="false" outlineLevel="0" collapsed="false">
      <c r="A20" s="1" t="n">
        <f aca="false">data!A73</f>
        <v>46010</v>
      </c>
      <c r="B20" s="3" t="n">
        <f aca="false">SUMIF(data!A:A, A20, data!F:F)</f>
        <v>230</v>
      </c>
    </row>
    <row r="21" customFormat="false" ht="14.25" hidden="false" customHeight="false" outlineLevel="0" collapsed="false">
      <c r="A21" s="1" t="n">
        <f aca="false">data!A77</f>
        <v>46011</v>
      </c>
      <c r="B21" s="3" t="n">
        <f aca="false">SUMIF(data!A:A, A21, data!F:F)</f>
        <v>484</v>
      </c>
    </row>
    <row r="22" customFormat="false" ht="14.25" hidden="false" customHeight="false" outlineLevel="0" collapsed="false">
      <c r="A22" s="1" t="n">
        <f aca="false">data!A82</f>
        <v>46012</v>
      </c>
      <c r="B22" s="3" t="n">
        <f aca="false">SUMIF(data!A:A, A22, data!F:F)</f>
        <v>520</v>
      </c>
    </row>
    <row r="23" customFormat="false" ht="14.25" hidden="false" customHeight="false" outlineLevel="0" collapsed="false">
      <c r="A23" s="1" t="n">
        <f aca="false">data!A86</f>
        <v>46013</v>
      </c>
      <c r="B23" s="3" t="n">
        <f aca="false">SUMIF(data!A:A, A23, data!F:F)</f>
        <v>275</v>
      </c>
    </row>
    <row r="24" customFormat="false" ht="14.25" hidden="false" customHeight="false" outlineLevel="0" collapsed="false">
      <c r="A24" s="1" t="n">
        <f aca="false">data!A90</f>
        <v>46014</v>
      </c>
      <c r="B24" s="3" t="n">
        <f aca="false">SUMIF(data!A:A, A24, data!F:F)</f>
        <v>245</v>
      </c>
    </row>
    <row r="25" customFormat="false" ht="14.25" hidden="false" customHeight="false" outlineLevel="0" collapsed="false">
      <c r="A25" s="1" t="n">
        <f aca="false">data!A94</f>
        <v>46015</v>
      </c>
      <c r="B25" s="3" t="n">
        <f aca="false">SUMIF(data!A:A, A25, data!F:F)</f>
        <v>2090</v>
      </c>
    </row>
    <row r="26" customFormat="false" ht="14.25" hidden="false" customHeight="false" outlineLevel="0" collapsed="false">
      <c r="A26" s="1" t="n">
        <f aca="false">data!A98</f>
        <v>46016</v>
      </c>
      <c r="B26" s="3" t="n">
        <f aca="false">SUMIF(data!A:A, A26, data!F:F)</f>
        <v>385</v>
      </c>
    </row>
    <row r="27" customFormat="false" ht="14.25" hidden="false" customHeight="false" outlineLevel="0" collapsed="false">
      <c r="A27" s="1" t="n">
        <f aca="false">data!A101</f>
        <v>46017</v>
      </c>
      <c r="B27" s="3" t="n">
        <f aca="false">SUMIF(data!A:A, A27, data!F:F)</f>
        <v>230</v>
      </c>
    </row>
    <row r="28" customFormat="false" ht="14.25" hidden="false" customHeight="false" outlineLevel="0" collapsed="false">
      <c r="A28" s="1" t="n">
        <f aca="false">data!A105</f>
        <v>46018</v>
      </c>
      <c r="B28" s="3" t="n">
        <f aca="false">SUMIF(data!A:A, A28, data!F:F)</f>
        <v>245</v>
      </c>
    </row>
    <row r="29" customFormat="false" ht="14.25" hidden="false" customHeight="false" outlineLevel="0" collapsed="false">
      <c r="A29" s="1" t="n">
        <f aca="false">data!A109</f>
        <v>46019</v>
      </c>
      <c r="B29" s="3" t="n">
        <f aca="false">SUMIF(data!A:A, A29, data!F:F)</f>
        <v>520</v>
      </c>
    </row>
    <row r="30" customFormat="false" ht="14.25" hidden="false" customHeight="false" outlineLevel="0" collapsed="false">
      <c r="A30" s="1" t="n">
        <f aca="false">data!A113</f>
        <v>46020</v>
      </c>
      <c r="B30" s="3" t="n">
        <f aca="false">SUMIF(data!A:A, A30, data!F:F)</f>
        <v>275</v>
      </c>
    </row>
    <row r="31" customFormat="false" ht="14.25" hidden="false" customHeight="false" outlineLevel="0" collapsed="false">
      <c r="A31" s="1" t="n">
        <f aca="false">data!A117</f>
        <v>46021</v>
      </c>
      <c r="B31" s="3" t="n">
        <f aca="false">SUMIF(data!A:A, A31, data!F:F)</f>
        <v>245</v>
      </c>
    </row>
    <row r="32" customFormat="false" ht="14.25" hidden="false" customHeight="false" outlineLevel="0" collapsed="false">
      <c r="A3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37" activeCellId="0" sqref="D3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1.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.11"/>
    <col collapsed="false" customWidth="true" hidden="false" outlineLevel="0" max="5" min="5" style="0" width="84.56"/>
    <col collapsed="false" customWidth="true" hidden="false" outlineLevel="0" max="6" min="6" style="0" width="26.56"/>
    <col collapsed="false" customWidth="true" hidden="false" outlineLevel="0" max="7" min="7" style="0" width="6"/>
  </cols>
  <sheetData>
    <row r="1" customFormat="false" ht="14.25" hidden="false" customHeight="false" outlineLevel="0" collapsed="false">
      <c r="A1" s="13" t="s">
        <v>42</v>
      </c>
      <c r="B1" s="13"/>
      <c r="C1" s="13"/>
      <c r="D1" s="13"/>
      <c r="E1" s="13"/>
      <c r="F1" s="13"/>
      <c r="G1" s="14"/>
    </row>
    <row r="2" customFormat="false" ht="17.25" hidden="false" customHeight="true" outlineLevel="0" collapsed="false">
      <c r="A2" s="13"/>
      <c r="B2" s="13"/>
      <c r="C2" s="13"/>
      <c r="D2" s="13"/>
      <c r="E2" s="13"/>
      <c r="F2" s="13"/>
      <c r="G2" s="15"/>
    </row>
    <row r="3" customFormat="false" ht="14.25" hidden="false" customHeight="false" outlineLevel="0" collapsed="false">
      <c r="A3" s="16"/>
      <c r="B3" s="17"/>
      <c r="C3" s="17"/>
      <c r="D3" s="17"/>
      <c r="E3" s="17"/>
      <c r="F3" s="17"/>
      <c r="G3" s="18"/>
    </row>
    <row r="4" customFormat="false" ht="18" hidden="false" customHeight="true" outlineLevel="0" collapsed="false">
      <c r="A4" s="16"/>
      <c r="B4" s="17"/>
      <c r="C4" s="17"/>
      <c r="D4" s="17"/>
      <c r="E4" s="17"/>
      <c r="F4" s="19" t="n">
        <f aca="false">SUM(data!F1:F120)</f>
        <v>14533</v>
      </c>
      <c r="G4" s="20"/>
    </row>
    <row r="5" customFormat="false" ht="18" hidden="false" customHeight="true" outlineLevel="0" collapsed="false">
      <c r="A5" s="16"/>
      <c r="B5" s="17"/>
      <c r="C5" s="17"/>
      <c r="D5" s="17"/>
      <c r="E5" s="17"/>
      <c r="F5" s="21" t="s">
        <v>43</v>
      </c>
      <c r="G5" s="22"/>
    </row>
    <row r="6" customFormat="false" ht="18" hidden="false" customHeight="true" outlineLevel="0" collapsed="false">
      <c r="A6" s="16"/>
      <c r="B6" s="17"/>
      <c r="C6" s="17"/>
      <c r="D6" s="17"/>
      <c r="E6" s="17"/>
      <c r="F6" s="23"/>
      <c r="G6" s="24"/>
    </row>
    <row r="7" customFormat="false" ht="18" hidden="false" customHeight="true" outlineLevel="0" collapsed="false">
      <c r="A7" s="16"/>
      <c r="B7" s="17"/>
      <c r="C7" s="17"/>
      <c r="D7" s="17"/>
      <c r="E7" s="17"/>
      <c r="F7" s="19" t="n">
        <f aca="false">AVERAGE(HELPER!B:B)</f>
        <v>484.433333333333</v>
      </c>
      <c r="G7" s="20"/>
    </row>
    <row r="8" customFormat="false" ht="18" hidden="false" customHeight="true" outlineLevel="0" collapsed="false">
      <c r="A8" s="16"/>
      <c r="B8" s="17"/>
      <c r="C8" s="17"/>
      <c r="D8" s="17"/>
      <c r="E8" s="17"/>
      <c r="F8" s="25" t="s">
        <v>44</v>
      </c>
      <c r="G8" s="24"/>
    </row>
    <row r="9" customFormat="false" ht="18" hidden="false" customHeight="true" outlineLevel="0" collapsed="false">
      <c r="A9" s="16"/>
      <c r="B9" s="17"/>
      <c r="C9" s="17"/>
      <c r="D9" s="17"/>
      <c r="E9" s="17"/>
      <c r="F9" s="23"/>
      <c r="G9" s="24"/>
    </row>
    <row r="10" customFormat="false" ht="18" hidden="false" customHeight="true" outlineLevel="0" collapsed="false">
      <c r="A10" s="26"/>
      <c r="B10" s="17"/>
      <c r="C10" s="17"/>
      <c r="D10" s="17"/>
      <c r="E10" s="17"/>
      <c r="F10" s="27" t="n">
        <f aca="false">INDEX(HELPER!A:A, MATCH(MAX(HELPER!B:B), HELPER!B:B, 0))</f>
        <v>46015</v>
      </c>
      <c r="G10" s="28"/>
    </row>
    <row r="11" customFormat="false" ht="18" hidden="false" customHeight="true" outlineLevel="0" collapsed="false">
      <c r="A11" s="16"/>
      <c r="B11" s="17"/>
      <c r="C11" s="17"/>
      <c r="D11" s="17"/>
      <c r="E11" s="17"/>
      <c r="F11" s="25" t="s">
        <v>45</v>
      </c>
      <c r="G11" s="24"/>
    </row>
    <row r="12" customFormat="false" ht="18" hidden="false" customHeight="true" outlineLevel="0" collapsed="false">
      <c r="A12" s="16"/>
      <c r="B12" s="17"/>
      <c r="C12" s="17"/>
      <c r="D12" s="17"/>
      <c r="E12" s="17"/>
      <c r="F12" s="23"/>
      <c r="G12" s="24"/>
    </row>
    <row r="13" customFormat="false" ht="18" hidden="false" customHeight="true" outlineLevel="0" collapsed="false">
      <c r="A13" s="16"/>
      <c r="B13" s="17"/>
      <c r="C13" s="17"/>
      <c r="D13" s="17"/>
      <c r="E13" s="17"/>
      <c r="F13" s="29" t="str">
        <f aca="false">INDEX(HELPER!$G$3:$G$8, MATCH(MAX(HELPER!$H$3:$H$8), HELPER!$H$3:$H$8, 0))</f>
        <v>Food</v>
      </c>
      <c r="G13" s="30"/>
    </row>
    <row r="14" customFormat="false" ht="18" hidden="false" customHeight="true" outlineLevel="0" collapsed="false">
      <c r="A14" s="16"/>
      <c r="B14" s="17"/>
      <c r="C14" s="17"/>
      <c r="D14" s="17"/>
      <c r="E14" s="17"/>
      <c r="F14" s="31" t="s">
        <v>46</v>
      </c>
      <c r="G14" s="32"/>
    </row>
    <row r="15" customFormat="false" ht="14.25" hidden="false" customHeight="false" outlineLevel="0" collapsed="false">
      <c r="A15" s="16"/>
      <c r="B15" s="17"/>
      <c r="C15" s="17"/>
      <c r="D15" s="17"/>
      <c r="E15" s="17"/>
      <c r="F15" s="17"/>
      <c r="G15" s="18"/>
    </row>
    <row r="16" customFormat="false" ht="14.25" hidden="false" customHeight="false" outlineLevel="0" collapsed="false">
      <c r="A16" s="16"/>
      <c r="B16" s="17"/>
      <c r="C16" s="17"/>
      <c r="D16" s="17"/>
      <c r="E16" s="17"/>
      <c r="F16" s="17"/>
      <c r="G16" s="18"/>
    </row>
    <row r="17" customFormat="false" ht="14.25" hidden="false" customHeight="false" outlineLevel="0" collapsed="false">
      <c r="A17" s="16"/>
      <c r="B17" s="17"/>
      <c r="C17" s="17"/>
      <c r="D17" s="17"/>
      <c r="E17" s="17"/>
      <c r="F17" s="17"/>
      <c r="G17" s="18"/>
    </row>
    <row r="18" customFormat="false" ht="14.25" hidden="false" customHeight="false" outlineLevel="0" collapsed="false">
      <c r="A18" s="16"/>
      <c r="B18" s="17"/>
      <c r="C18" s="17"/>
      <c r="D18" s="17"/>
      <c r="E18" s="17"/>
      <c r="F18" s="17"/>
      <c r="G18" s="18"/>
    </row>
    <row r="19" customFormat="false" ht="14.25" hidden="false" customHeight="false" outlineLevel="0" collapsed="false">
      <c r="A19" s="16"/>
      <c r="B19" s="17"/>
      <c r="C19" s="17"/>
      <c r="D19" s="17"/>
      <c r="E19" s="17"/>
      <c r="F19" s="17"/>
      <c r="G19" s="18"/>
    </row>
    <row r="20" customFormat="false" ht="14.25" hidden="false" customHeight="false" outlineLevel="0" collapsed="false">
      <c r="A20" s="16"/>
      <c r="B20" s="17"/>
      <c r="C20" s="17"/>
      <c r="D20" s="17"/>
      <c r="E20" s="17"/>
      <c r="F20" s="17"/>
      <c r="G20" s="18"/>
    </row>
    <row r="21" customFormat="false" ht="14.25" hidden="false" customHeight="false" outlineLevel="0" collapsed="false">
      <c r="A21" s="16"/>
      <c r="B21" s="17"/>
      <c r="C21" s="17"/>
      <c r="D21" s="17"/>
      <c r="E21" s="17"/>
      <c r="F21" s="17"/>
      <c r="G21" s="18"/>
    </row>
    <row r="22" customFormat="false" ht="14.25" hidden="false" customHeight="false" outlineLevel="0" collapsed="false">
      <c r="A22" s="16"/>
      <c r="B22" s="17"/>
      <c r="C22" s="17"/>
      <c r="D22" s="17"/>
      <c r="E22" s="17"/>
      <c r="F22" s="17"/>
      <c r="G22" s="18"/>
    </row>
    <row r="23" customFormat="false" ht="14.25" hidden="false" customHeight="false" outlineLevel="0" collapsed="false">
      <c r="A23" s="16"/>
      <c r="B23" s="17"/>
      <c r="C23" s="17"/>
      <c r="D23" s="17"/>
      <c r="E23" s="17"/>
      <c r="F23" s="17"/>
      <c r="G23" s="18"/>
    </row>
    <row r="24" customFormat="false" ht="14.25" hidden="false" customHeight="false" outlineLevel="0" collapsed="false">
      <c r="A24" s="16"/>
      <c r="B24" s="17"/>
      <c r="C24" s="17"/>
      <c r="D24" s="17"/>
      <c r="E24" s="17"/>
      <c r="F24" s="17"/>
      <c r="G24" s="18"/>
    </row>
    <row r="25" customFormat="false" ht="14.25" hidden="false" customHeight="false" outlineLevel="0" collapsed="false">
      <c r="A25" s="16"/>
      <c r="B25" s="17"/>
      <c r="C25" s="17"/>
      <c r="D25" s="17"/>
      <c r="E25" s="17"/>
      <c r="F25" s="17"/>
      <c r="G25" s="18"/>
    </row>
    <row r="26" customFormat="false" ht="14.25" hidden="false" customHeight="false" outlineLevel="0" collapsed="false">
      <c r="A26" s="16"/>
      <c r="B26" s="17"/>
      <c r="C26" s="17"/>
      <c r="D26" s="17"/>
      <c r="E26" s="17"/>
      <c r="F26" s="17"/>
      <c r="G26" s="18"/>
    </row>
    <row r="27" customFormat="false" ht="14.25" hidden="false" customHeight="false" outlineLevel="0" collapsed="false">
      <c r="A27" s="16"/>
      <c r="B27" s="17"/>
      <c r="C27" s="17"/>
      <c r="D27" s="17"/>
      <c r="E27" s="17"/>
      <c r="F27" s="17"/>
      <c r="G27" s="18"/>
    </row>
    <row r="28" customFormat="false" ht="14.25" hidden="false" customHeight="false" outlineLevel="0" collapsed="false">
      <c r="A28" s="33"/>
      <c r="B28" s="34"/>
      <c r="C28" s="34"/>
      <c r="D28" s="34"/>
      <c r="E28" s="34"/>
      <c r="F28" s="34"/>
      <c r="G28" s="15"/>
    </row>
    <row r="29" customFormat="false" ht="14.25" hidden="true" customHeight="false" outlineLevel="0" collapsed="false">
      <c r="A29" s="33"/>
      <c r="B29" s="34"/>
      <c r="C29" s="34"/>
      <c r="D29" s="34"/>
      <c r="E29" s="34"/>
      <c r="F29" s="34"/>
      <c r="G29" s="15"/>
    </row>
    <row r="30" customFormat="false" ht="14.25" hidden="false" customHeight="false" outlineLevel="0" collapsed="false">
      <c r="G30" s="35"/>
    </row>
  </sheetData>
  <mergeCells count="1">
    <mergeCell ref="A1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6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2026-01-02T19:00:20Z</dcterms:created>
  <dc:creator/>
  <dc:description/>
  <dc:language>en-US</dc:language>
  <cp:lastModifiedBy/>
  <dcterms:modified xsi:type="dcterms:W3CDTF">2026-09-10T22:36:06Z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